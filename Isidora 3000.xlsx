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lihn\Desktop\Stacking Plan\"/>
    </mc:Choice>
  </mc:AlternateContent>
  <xr:revisionPtr revIDLastSave="0" documentId="8_{EC364FAF-253D-467A-9734-965FC0C28A72}" xr6:coauthVersionLast="47" xr6:coauthVersionMax="47" xr10:uidLastSave="{00000000-0000-0000-0000-000000000000}"/>
  <bookViews>
    <workbookView xWindow="28680" yWindow="-120" windowWidth="29040" windowHeight="15720" xr2:uid="{72D828E6-33CB-48AE-BEB3-93CBE1B6457D}"/>
  </bookViews>
  <sheets>
    <sheet name="Rent Roll" sheetId="18" r:id="rId1"/>
  </sheets>
  <definedNames>
    <definedName name="_xlnm._FilterDatabase" localSheetId="0" hidden="1">'Rent Roll'!$A$1:$N$757</definedName>
    <definedName name="CIQWBGuid" hidden="1">"07679669-a6ac-4f7d-b120-98d5b29df765"</definedName>
    <definedName name="dfg" hidden="1">{"Opción 4","-1 a 11 en verde",TRUE,"Analisis opciones AH";"Opción 4","-1 a 10 en verde",TRUE,"Analisis opciones AH";"Opción 4","-1 a 9 en verde",TRUE,"Analisis opciones AH";"Opción 4","-1 a 8 en verde",TRUE,"Analisis opciones AH"}</definedName>
    <definedName name="escenatrios2" hidden="1">{"Opción 4","-1 a 11 en verde",TRUE,"Analisis opciones AH";"Opción 4","-1 a 10 en verde",TRUE,"Analisis opciones AH";"Opción 4","-1 a 9 en verde",TRUE,"Analisis opciones AH";"Opción 4","-1 a 8 en verde",TRUE,"Analisis opciones AH"}</definedName>
    <definedName name="fd">#REF!</definedName>
    <definedName name="HTML_CodePage" hidden="1">1252</definedName>
    <definedName name="HTML_Control" hidden="1">{"'Inversión Extranjera'!$A$1:$AG$74","'Inversión Extranjera'!$G$7:$AF$61"}</definedName>
    <definedName name="HTML_Description" hidden="1">""</definedName>
    <definedName name="HTML_Email" hidden="1">""</definedName>
    <definedName name="HTML_Header" hidden="1">"Inversión Extranjera"</definedName>
    <definedName name="HTML_LastUpdate" hidden="1">"02-02-2000"</definedName>
    <definedName name="HTML_LineAfter" hidden="1">TRUE</definedName>
    <definedName name="HTML_LineBefore" hidden="1">TRUE</definedName>
    <definedName name="HTML_Name" hidden="1">"Carlos Arriagada"</definedName>
    <definedName name="HTML_OBDlg2" hidden="1">TRUE</definedName>
    <definedName name="HTML_OBDlg4" hidden="1">TRUE</definedName>
    <definedName name="HTML_OS" hidden="1">0</definedName>
    <definedName name="HTML_PathFile" hidden="1">"C:\Mis documentos\HTML.htm"</definedName>
    <definedName name="HTML_Title" hidden="1">"Inversión extranjera2"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"08/13/2020 19:54:49"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VA">#REF!</definedName>
    <definedName name="wrn.Escenatrios." hidden="1">{"Opción 4","-1 a 11 en verde",TRUE,"Analisis opciones AH";"Opción 4","-1 a 10 en verde",TRUE,"Analisis opciones AH";"Opción 4","-1 a 9 en verde",TRUE,"Analisis opciones AH";"Opción 4","-1 a 8 en verde",TRUE,"Analisis opciones AH"}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395" i="18" l="1"/>
  <c r="AD757" i="18"/>
  <c r="AD756" i="18"/>
  <c r="AD755" i="18"/>
  <c r="AD754" i="18"/>
  <c r="AD753" i="18"/>
  <c r="AD752" i="18"/>
  <c r="AD751" i="18"/>
  <c r="AD750" i="18"/>
  <c r="AD749" i="18"/>
  <c r="AD748" i="18"/>
  <c r="AD747" i="18"/>
  <c r="AD746" i="18"/>
  <c r="AD745" i="18"/>
  <c r="AD744" i="18"/>
  <c r="AD743" i="18"/>
  <c r="AD742" i="18"/>
  <c r="AD741" i="18"/>
  <c r="AD740" i="18"/>
  <c r="AD739" i="18"/>
  <c r="AD738" i="18"/>
  <c r="AD737" i="18"/>
  <c r="AD736" i="18"/>
  <c r="AD735" i="18"/>
  <c r="AD734" i="18"/>
  <c r="AD733" i="18"/>
  <c r="AD732" i="18"/>
  <c r="AD731" i="18"/>
  <c r="AD730" i="18"/>
  <c r="AD729" i="18"/>
  <c r="AD728" i="18"/>
  <c r="AD727" i="18"/>
  <c r="AD726" i="18"/>
  <c r="AD725" i="18"/>
  <c r="AD724" i="18"/>
  <c r="AD723" i="18"/>
  <c r="AD722" i="18"/>
  <c r="AD721" i="18"/>
  <c r="AD720" i="18"/>
  <c r="AD719" i="18"/>
  <c r="AD718" i="18"/>
  <c r="AD717" i="18"/>
  <c r="AD716" i="18"/>
  <c r="AD715" i="18"/>
  <c r="AD714" i="18"/>
  <c r="AD713" i="18"/>
  <c r="AD712" i="18"/>
  <c r="AD711" i="18"/>
  <c r="AD710" i="18"/>
  <c r="AD709" i="18"/>
  <c r="AD708" i="18"/>
  <c r="AD707" i="18"/>
  <c r="AD706" i="18"/>
  <c r="AD705" i="18"/>
  <c r="AD704" i="18"/>
  <c r="AD703" i="18"/>
  <c r="AD702" i="18"/>
  <c r="AD701" i="18"/>
  <c r="AD700" i="18"/>
  <c r="AD699" i="18"/>
  <c r="AD698" i="18"/>
  <c r="AD697" i="18"/>
  <c r="AD696" i="18"/>
  <c r="AD695" i="18"/>
  <c r="AD694" i="18"/>
  <c r="AD693" i="18"/>
  <c r="AD692" i="18"/>
  <c r="AD691" i="18"/>
  <c r="AD690" i="18"/>
  <c r="AD689" i="18"/>
  <c r="AD688" i="18"/>
  <c r="AD687" i="18"/>
  <c r="AD686" i="18"/>
  <c r="AD685" i="18"/>
  <c r="AD684" i="18"/>
  <c r="AD683" i="18"/>
  <c r="AD682" i="18"/>
  <c r="AD681" i="18"/>
  <c r="AD680" i="18"/>
  <c r="AD679" i="18"/>
  <c r="AD678" i="18"/>
  <c r="AD677" i="18"/>
  <c r="AD676" i="18"/>
  <c r="AD675" i="18"/>
  <c r="AD674" i="18"/>
  <c r="AD673" i="18"/>
  <c r="AD672" i="18"/>
  <c r="AD671" i="18"/>
  <c r="AD670" i="18"/>
  <c r="AD669" i="18"/>
  <c r="AD668" i="18"/>
  <c r="AD667" i="18"/>
  <c r="AD666" i="18"/>
  <c r="AD665" i="18"/>
  <c r="AD664" i="18"/>
  <c r="AD663" i="18"/>
  <c r="AD662" i="18"/>
  <c r="AD661" i="18"/>
  <c r="AD660" i="18"/>
  <c r="AD659" i="18"/>
  <c r="AD658" i="18"/>
  <c r="AD657" i="18"/>
  <c r="AD656" i="18"/>
  <c r="AD655" i="18"/>
  <c r="AD654" i="18"/>
  <c r="AD653" i="18"/>
  <c r="AD652" i="18"/>
  <c r="AD651" i="18"/>
  <c r="AD650" i="18"/>
  <c r="AD649" i="18"/>
  <c r="AD648" i="18"/>
  <c r="AD647" i="18"/>
  <c r="AD646" i="18"/>
  <c r="AD645" i="18"/>
  <c r="AD644" i="18"/>
  <c r="AD643" i="18"/>
  <c r="AD642" i="18"/>
  <c r="AD641" i="18"/>
  <c r="AD640" i="18"/>
  <c r="AD639" i="18"/>
  <c r="AD638" i="18"/>
  <c r="AD637" i="18"/>
  <c r="AD636" i="18"/>
  <c r="AD635" i="18"/>
  <c r="AD634" i="18"/>
  <c r="AD633" i="18"/>
  <c r="AD632" i="18"/>
  <c r="AD631" i="18"/>
  <c r="AD630" i="18"/>
  <c r="AD629" i="18"/>
  <c r="AD628" i="18"/>
  <c r="AD627" i="18"/>
  <c r="AD626" i="18"/>
  <c r="AD625" i="18"/>
  <c r="AD624" i="18"/>
  <c r="AD623" i="18"/>
  <c r="AD622" i="18"/>
  <c r="AD621" i="18"/>
  <c r="AD620" i="18"/>
  <c r="AD619" i="18"/>
  <c r="AD618" i="18"/>
  <c r="AD617" i="18"/>
  <c r="AD616" i="18"/>
  <c r="AD615" i="18"/>
  <c r="AD614" i="18"/>
  <c r="AD613" i="18"/>
  <c r="AD612" i="18"/>
  <c r="AD611" i="18"/>
  <c r="AD610" i="18"/>
  <c r="AD609" i="18"/>
  <c r="AD608" i="18"/>
  <c r="AD607" i="18"/>
  <c r="AD606" i="18"/>
  <c r="AD605" i="18"/>
  <c r="AD604" i="18"/>
  <c r="AD603" i="18"/>
  <c r="AD602" i="18"/>
  <c r="AD601" i="18"/>
  <c r="AD600" i="18"/>
  <c r="AD599" i="18"/>
  <c r="AD598" i="18"/>
  <c r="AD597" i="18"/>
  <c r="AD596" i="18"/>
  <c r="AD595" i="18"/>
  <c r="AD594" i="18"/>
  <c r="AD593" i="18"/>
  <c r="AD592" i="18"/>
  <c r="AD591" i="18"/>
  <c r="AD590" i="18"/>
  <c r="AD589" i="18"/>
  <c r="AD588" i="18"/>
  <c r="AD587" i="18"/>
  <c r="AD586" i="18"/>
  <c r="AD585" i="18"/>
  <c r="AD584" i="18"/>
  <c r="AD583" i="18"/>
  <c r="AD582" i="18"/>
  <c r="AD581" i="18"/>
  <c r="AD580" i="18"/>
  <c r="AD579" i="18"/>
  <c r="AD578" i="18"/>
  <c r="AD577" i="18"/>
  <c r="AD576" i="18"/>
  <c r="AD575" i="18"/>
  <c r="AD574" i="18"/>
  <c r="AD573" i="18"/>
  <c r="AD572" i="18"/>
  <c r="AD571" i="18"/>
  <c r="AD570" i="18"/>
  <c r="AD569" i="18"/>
  <c r="AD568" i="18"/>
  <c r="AD567" i="18"/>
  <c r="AD566" i="18"/>
  <c r="AD565" i="18"/>
  <c r="AD564" i="18"/>
  <c r="AD563" i="18"/>
  <c r="AD562" i="18"/>
  <c r="AD561" i="18"/>
  <c r="AD560" i="18"/>
  <c r="AD559" i="18"/>
  <c r="AD558" i="18"/>
  <c r="AD557" i="18"/>
  <c r="AD556" i="18"/>
  <c r="AD555" i="18"/>
  <c r="AD554" i="18"/>
  <c r="AD553" i="18"/>
  <c r="AD552" i="18"/>
  <c r="AD551" i="18"/>
  <c r="AD550" i="18"/>
  <c r="AD549" i="18"/>
  <c r="AD548" i="18"/>
  <c r="AD547" i="18"/>
  <c r="AD546" i="18"/>
  <c r="AD545" i="18"/>
  <c r="AD544" i="18"/>
  <c r="AD543" i="18"/>
  <c r="AD542" i="18"/>
  <c r="AD541" i="18"/>
  <c r="AD540" i="18"/>
  <c r="AD539" i="18"/>
  <c r="AD538" i="18"/>
  <c r="AD537" i="18"/>
  <c r="AD536" i="18"/>
  <c r="AD535" i="18"/>
  <c r="AD534" i="18"/>
  <c r="AD533" i="18"/>
  <c r="AD532" i="18"/>
  <c r="AD531" i="18"/>
  <c r="AD530" i="18"/>
  <c r="AD529" i="18"/>
  <c r="AD528" i="18"/>
  <c r="AD527" i="18"/>
  <c r="AD526" i="18"/>
  <c r="AD525" i="18"/>
  <c r="AD524" i="18"/>
  <c r="AD523" i="18"/>
  <c r="AD522" i="18"/>
  <c r="AD521" i="18"/>
  <c r="AD520" i="18"/>
  <c r="AD519" i="18"/>
  <c r="AD518" i="18"/>
  <c r="AD517" i="18"/>
  <c r="AD516" i="18"/>
  <c r="AD515" i="18"/>
  <c r="AD514" i="18"/>
  <c r="AD513" i="18"/>
  <c r="AD512" i="18"/>
  <c r="AD511" i="18"/>
  <c r="AD510" i="18"/>
  <c r="AD509" i="18"/>
  <c r="AD508" i="18"/>
  <c r="AD507" i="18"/>
  <c r="AD506" i="18"/>
  <c r="AD505" i="18"/>
  <c r="AD504" i="18"/>
  <c r="AD503" i="18"/>
  <c r="AD502" i="18"/>
  <c r="AD501" i="18"/>
  <c r="AD500" i="18"/>
  <c r="AD499" i="18"/>
  <c r="AD498" i="18"/>
  <c r="AD497" i="18"/>
  <c r="AD496" i="18"/>
  <c r="AD495" i="18"/>
  <c r="AD494" i="18"/>
  <c r="AD493" i="18"/>
  <c r="AD492" i="18"/>
  <c r="AD491" i="18"/>
  <c r="AD490" i="18"/>
  <c r="AD489" i="18"/>
  <c r="AD488" i="18"/>
  <c r="AD487" i="18"/>
  <c r="AD486" i="18"/>
  <c r="AD485" i="18"/>
  <c r="AD484" i="18"/>
  <c r="AD483" i="18"/>
  <c r="AD482" i="18"/>
  <c r="AD481" i="18"/>
  <c r="AD480" i="18"/>
  <c r="AD479" i="18"/>
  <c r="AD478" i="18"/>
  <c r="AD477" i="18"/>
  <c r="AD476" i="18"/>
  <c r="AD475" i="18"/>
  <c r="AD474" i="18"/>
  <c r="AD473" i="18"/>
  <c r="AD472" i="18"/>
  <c r="AD471" i="18"/>
  <c r="AD470" i="18"/>
  <c r="AD469" i="18"/>
  <c r="AD468" i="18"/>
  <c r="AD467" i="18"/>
  <c r="AD466" i="18"/>
  <c r="AD465" i="18"/>
  <c r="AD464" i="18"/>
  <c r="AD463" i="18"/>
  <c r="AD462" i="18"/>
  <c r="AD461" i="18"/>
  <c r="AD460" i="18"/>
  <c r="AD459" i="18"/>
  <c r="AD458" i="18"/>
  <c r="AD457" i="18"/>
  <c r="AD456" i="18"/>
  <c r="AD455" i="18"/>
  <c r="AD454" i="18"/>
  <c r="AD453" i="18"/>
  <c r="AD452" i="18"/>
  <c r="AD451" i="18"/>
  <c r="AD450" i="18"/>
  <c r="AD449" i="18"/>
  <c r="AD448" i="18"/>
  <c r="AD447" i="18"/>
  <c r="AD446" i="18"/>
  <c r="AD445" i="18"/>
  <c r="AD444" i="18"/>
  <c r="AD443" i="18"/>
  <c r="AD442" i="18"/>
  <c r="AD441" i="18"/>
  <c r="AD440" i="18"/>
  <c r="AD439" i="18"/>
  <c r="AD438" i="18"/>
  <c r="AD437" i="18"/>
  <c r="AD436" i="18"/>
  <c r="AD435" i="18"/>
  <c r="AD434" i="18"/>
  <c r="AD433" i="18"/>
  <c r="AD432" i="18"/>
  <c r="AD431" i="18"/>
  <c r="AD430" i="18"/>
  <c r="AD429" i="18"/>
  <c r="AD428" i="18"/>
  <c r="AD427" i="18"/>
  <c r="AD426" i="18"/>
  <c r="AD425" i="18"/>
  <c r="AD424" i="18"/>
  <c r="AD423" i="18"/>
  <c r="AD422" i="18"/>
  <c r="AD421" i="18"/>
  <c r="AD420" i="18"/>
  <c r="AD419" i="18"/>
  <c r="AD418" i="18"/>
  <c r="AD417" i="18"/>
  <c r="AD416" i="18"/>
  <c r="AD415" i="18"/>
  <c r="AD414" i="18"/>
  <c r="AD413" i="18"/>
  <c r="AD412" i="18"/>
  <c r="AD411" i="18"/>
  <c r="AD410" i="18"/>
  <c r="AD409" i="18"/>
  <c r="AD408" i="18"/>
  <c r="AD407" i="18"/>
  <c r="AD406" i="18"/>
  <c r="AD405" i="18"/>
  <c r="AD404" i="18"/>
  <c r="AD403" i="18"/>
  <c r="AD402" i="18"/>
  <c r="AD401" i="18"/>
  <c r="AD400" i="18"/>
  <c r="AD399" i="18"/>
  <c r="AD398" i="18"/>
  <c r="AD397" i="18"/>
  <c r="AD396" i="18"/>
  <c r="AD394" i="18"/>
  <c r="AD393" i="18"/>
  <c r="AD392" i="18"/>
  <c r="AD391" i="18"/>
  <c r="AD390" i="18"/>
  <c r="AD389" i="18"/>
  <c r="AD388" i="18"/>
  <c r="AD387" i="18"/>
  <c r="AD386" i="18"/>
  <c r="AD385" i="18"/>
  <c r="AD384" i="18"/>
  <c r="AD383" i="18"/>
  <c r="AD382" i="18"/>
  <c r="AD381" i="18"/>
  <c r="AD380" i="18"/>
  <c r="AD379" i="18"/>
  <c r="AD378" i="18"/>
  <c r="AD377" i="18"/>
  <c r="AD376" i="18"/>
  <c r="AD375" i="18"/>
  <c r="AD374" i="18"/>
  <c r="AD373" i="18"/>
  <c r="AD372" i="18"/>
  <c r="AD371" i="18"/>
  <c r="AD370" i="18"/>
  <c r="AD369" i="18"/>
  <c r="AD368" i="18"/>
  <c r="AD367" i="18"/>
  <c r="AD366" i="18"/>
  <c r="AD365" i="18"/>
  <c r="AD364" i="18"/>
  <c r="AD363" i="18"/>
  <c r="AD362" i="18"/>
  <c r="AD361" i="18"/>
  <c r="AD360" i="18"/>
  <c r="AD359" i="18"/>
  <c r="AD358" i="18"/>
  <c r="AD357" i="18"/>
  <c r="AD356" i="18"/>
  <c r="AD355" i="18"/>
  <c r="AD354" i="18"/>
  <c r="AD353" i="18"/>
  <c r="AD352" i="18"/>
  <c r="AD351" i="18"/>
  <c r="AD350" i="18"/>
  <c r="AD349" i="18"/>
  <c r="AD348" i="18"/>
  <c r="AD347" i="18"/>
  <c r="AD346" i="18"/>
  <c r="AD345" i="18"/>
  <c r="AD344" i="18"/>
  <c r="AD343" i="18"/>
  <c r="AD342" i="18"/>
  <c r="AD341" i="18"/>
  <c r="AD340" i="18"/>
  <c r="AD339" i="18"/>
  <c r="AD338" i="18"/>
  <c r="AD337" i="18"/>
  <c r="AD336" i="18"/>
  <c r="AD335" i="18"/>
  <c r="AD334" i="18"/>
  <c r="AD333" i="18"/>
  <c r="AD332" i="18"/>
  <c r="AD331" i="18"/>
  <c r="AD330" i="18"/>
  <c r="AD329" i="18"/>
  <c r="AD328" i="18"/>
  <c r="AD327" i="18"/>
  <c r="AD326" i="18"/>
  <c r="AD325" i="18"/>
  <c r="AD324" i="18"/>
  <c r="AD323" i="18"/>
  <c r="AD322" i="18"/>
  <c r="AD321" i="18"/>
  <c r="AD320" i="18"/>
  <c r="AD319" i="18"/>
  <c r="AD318" i="18"/>
  <c r="AD317" i="18"/>
  <c r="AD316" i="18"/>
  <c r="AD315" i="18"/>
  <c r="AD314" i="18"/>
  <c r="AD313" i="18"/>
  <c r="AD312" i="18"/>
  <c r="AD311" i="18"/>
  <c r="AD310" i="18"/>
  <c r="AD309" i="18"/>
  <c r="AD308" i="18"/>
  <c r="AD307" i="18"/>
  <c r="AD306" i="18"/>
  <c r="AD305" i="18"/>
  <c r="AD304" i="18"/>
  <c r="AD303" i="18"/>
  <c r="AD302" i="18"/>
  <c r="AD301" i="18"/>
  <c r="AD300" i="18"/>
  <c r="AD299" i="18"/>
  <c r="AD298" i="18"/>
  <c r="AD297" i="18"/>
  <c r="AD296" i="18"/>
  <c r="AD295" i="18"/>
  <c r="AD294" i="18"/>
  <c r="AD293" i="18"/>
  <c r="AD292" i="18"/>
  <c r="AD291" i="18"/>
  <c r="AD290" i="18"/>
  <c r="AD289" i="18"/>
  <c r="AD288" i="18"/>
  <c r="AD287" i="18"/>
  <c r="AD286" i="18"/>
  <c r="AD285" i="18"/>
  <c r="AD284" i="18"/>
  <c r="AD283" i="18"/>
  <c r="AD282" i="18"/>
  <c r="AD281" i="18"/>
  <c r="AD280" i="18"/>
  <c r="AD279" i="18"/>
  <c r="AD278" i="18"/>
  <c r="AD277" i="18"/>
  <c r="AD276" i="18"/>
  <c r="AD275" i="18"/>
  <c r="AD274" i="18"/>
  <c r="AD273" i="18"/>
  <c r="AD272" i="18"/>
  <c r="AD271" i="18"/>
  <c r="AD270" i="18"/>
  <c r="AD269" i="18"/>
  <c r="AD268" i="18"/>
  <c r="AD267" i="18"/>
  <c r="AD266" i="18"/>
  <c r="AD265" i="18"/>
  <c r="AD264" i="18"/>
  <c r="AD263" i="18"/>
  <c r="AD262" i="18"/>
  <c r="AD261" i="18"/>
  <c r="AD260" i="18"/>
  <c r="AD259" i="18"/>
  <c r="AD258" i="18"/>
  <c r="AD257" i="18"/>
  <c r="AD256" i="18"/>
  <c r="AD255" i="18"/>
  <c r="AD254" i="18"/>
  <c r="AD253" i="18"/>
  <c r="AD252" i="18"/>
  <c r="AD251" i="18"/>
  <c r="AD250" i="18"/>
  <c r="AD249" i="18"/>
  <c r="AD248" i="18"/>
  <c r="AD247" i="18"/>
  <c r="AD246" i="18"/>
  <c r="AD245" i="18"/>
  <c r="AD244" i="18"/>
  <c r="AD243" i="18"/>
  <c r="AD242" i="18"/>
  <c r="AD241" i="18"/>
  <c r="AD240" i="18"/>
  <c r="AD239" i="18"/>
  <c r="AD238" i="18"/>
  <c r="AD237" i="18"/>
  <c r="AD236" i="18"/>
  <c r="AD235" i="18"/>
  <c r="AD234" i="18"/>
  <c r="AD233" i="18"/>
  <c r="AD232" i="18"/>
  <c r="AD231" i="18"/>
  <c r="AD230" i="18"/>
  <c r="AD229" i="18"/>
  <c r="AD228" i="18"/>
  <c r="AD227" i="18"/>
  <c r="AD226" i="18"/>
  <c r="AD225" i="18"/>
  <c r="AD224" i="18"/>
  <c r="AD223" i="18"/>
  <c r="AD222" i="18"/>
  <c r="AD221" i="18"/>
  <c r="AD220" i="18"/>
  <c r="AD219" i="18"/>
  <c r="AD218" i="18"/>
  <c r="AD217" i="18"/>
  <c r="AD216" i="18"/>
  <c r="AD215" i="18"/>
  <c r="AD214" i="18"/>
  <c r="AD213" i="18"/>
  <c r="AD212" i="18"/>
  <c r="AD211" i="18"/>
  <c r="AD210" i="18"/>
  <c r="AD209" i="18"/>
  <c r="AD208" i="18"/>
  <c r="AD207" i="18"/>
  <c r="AD206" i="18"/>
  <c r="AD205" i="18"/>
  <c r="AD204" i="18"/>
  <c r="AD203" i="18"/>
  <c r="AD202" i="18"/>
  <c r="AD201" i="18"/>
  <c r="AD200" i="18"/>
  <c r="AD199" i="18"/>
  <c r="AD198" i="18"/>
  <c r="AD197" i="18"/>
  <c r="AD196" i="18"/>
  <c r="AD195" i="18"/>
  <c r="AD194" i="18"/>
  <c r="AD193" i="18"/>
  <c r="AD192" i="18"/>
  <c r="AD191" i="18"/>
  <c r="AD190" i="18"/>
  <c r="AD189" i="18"/>
  <c r="AD188" i="18"/>
  <c r="AD187" i="18"/>
  <c r="AD186" i="18"/>
  <c r="AD185" i="18"/>
  <c r="AD184" i="18"/>
  <c r="AD183" i="18"/>
  <c r="AD182" i="18"/>
  <c r="AD181" i="18"/>
  <c r="AD180" i="18"/>
  <c r="AD179" i="18"/>
  <c r="AD178" i="18"/>
  <c r="AD177" i="18"/>
  <c r="AD176" i="18"/>
  <c r="AD175" i="18"/>
  <c r="AD174" i="18"/>
  <c r="AD173" i="18"/>
  <c r="AD172" i="18"/>
  <c r="AD171" i="18"/>
  <c r="AD170" i="18"/>
  <c r="AD169" i="18"/>
  <c r="AD168" i="18"/>
  <c r="AD167" i="18"/>
  <c r="AD166" i="18"/>
  <c r="AD165" i="18"/>
  <c r="AD164" i="18"/>
  <c r="AD163" i="18"/>
  <c r="AD162" i="18"/>
  <c r="AD161" i="18"/>
  <c r="AD160" i="18"/>
  <c r="AD159" i="18"/>
  <c r="AD158" i="18"/>
  <c r="AD157" i="18"/>
  <c r="AD156" i="18"/>
  <c r="AD155" i="18"/>
  <c r="AD154" i="18"/>
  <c r="AD153" i="18"/>
  <c r="AD152" i="18"/>
  <c r="AD151" i="18"/>
  <c r="AD150" i="18"/>
  <c r="AD149" i="18"/>
  <c r="AD148" i="18"/>
  <c r="AD147" i="18"/>
  <c r="AD146" i="18"/>
  <c r="AD145" i="18"/>
  <c r="AD144" i="18"/>
  <c r="AD143" i="18"/>
  <c r="AD142" i="18"/>
  <c r="AD141" i="18"/>
  <c r="AD140" i="18"/>
  <c r="AD139" i="18"/>
  <c r="AD138" i="18"/>
  <c r="AD137" i="18"/>
  <c r="AD136" i="18"/>
  <c r="AD135" i="18"/>
  <c r="AD134" i="18"/>
  <c r="AD133" i="18"/>
  <c r="AD132" i="18"/>
  <c r="AD131" i="18"/>
  <c r="AD130" i="18"/>
  <c r="AD129" i="18"/>
  <c r="AD128" i="18"/>
  <c r="AD127" i="18"/>
  <c r="AD126" i="18"/>
  <c r="AD125" i="18"/>
  <c r="AD124" i="18"/>
  <c r="AD123" i="18"/>
  <c r="AD122" i="18"/>
  <c r="AD121" i="18"/>
  <c r="AD120" i="18"/>
  <c r="AD119" i="18"/>
  <c r="AD118" i="18"/>
  <c r="AD117" i="18"/>
  <c r="AD116" i="18"/>
  <c r="AD115" i="18"/>
  <c r="AD114" i="18"/>
  <c r="AD113" i="18"/>
  <c r="AD112" i="18"/>
  <c r="AD111" i="18"/>
  <c r="AD110" i="18"/>
  <c r="AD109" i="18"/>
  <c r="AD108" i="18"/>
  <c r="AD107" i="18"/>
  <c r="AD106" i="18"/>
  <c r="AD105" i="18"/>
  <c r="AD104" i="18"/>
  <c r="AD103" i="18"/>
  <c r="AD102" i="18"/>
  <c r="AD101" i="18"/>
  <c r="AD100" i="18"/>
  <c r="AD99" i="18"/>
  <c r="AD98" i="18"/>
  <c r="AD97" i="18"/>
  <c r="AD96" i="18"/>
  <c r="AD95" i="18"/>
  <c r="AD94" i="18"/>
  <c r="AD93" i="18"/>
  <c r="AD92" i="18"/>
  <c r="AD91" i="18"/>
  <c r="AD90" i="18"/>
  <c r="AD89" i="18"/>
  <c r="AD88" i="18"/>
  <c r="AD87" i="18"/>
  <c r="AD86" i="18"/>
  <c r="AD85" i="18"/>
  <c r="AD84" i="18"/>
  <c r="AD83" i="18"/>
  <c r="AD82" i="18"/>
  <c r="AD81" i="18"/>
  <c r="AD80" i="18"/>
  <c r="AD79" i="18"/>
  <c r="AD78" i="18"/>
  <c r="AD77" i="18"/>
  <c r="AD76" i="18"/>
  <c r="AD75" i="18"/>
  <c r="AD74" i="18"/>
  <c r="AD73" i="18"/>
  <c r="AD72" i="18"/>
  <c r="AD71" i="18"/>
  <c r="AD70" i="18"/>
  <c r="AD69" i="18"/>
  <c r="AD68" i="18"/>
  <c r="AD67" i="18"/>
  <c r="AD66" i="18"/>
  <c r="AD65" i="18"/>
  <c r="AD64" i="18"/>
  <c r="AD63" i="18"/>
  <c r="AD62" i="18"/>
  <c r="AD61" i="18"/>
  <c r="AD60" i="18"/>
  <c r="AD59" i="18"/>
  <c r="AD58" i="18"/>
  <c r="AD57" i="18"/>
  <c r="AD56" i="18"/>
  <c r="AD55" i="18"/>
  <c r="AD54" i="18"/>
  <c r="AD53" i="18"/>
  <c r="AD52" i="18"/>
  <c r="AD51" i="18"/>
  <c r="AD50" i="18"/>
  <c r="AD49" i="18"/>
  <c r="AD48" i="18"/>
  <c r="AD47" i="18"/>
  <c r="AD46" i="18"/>
  <c r="AD45" i="18"/>
  <c r="AD44" i="18"/>
  <c r="AD43" i="18"/>
  <c r="AD42" i="18"/>
  <c r="AD41" i="18"/>
  <c r="AD40" i="18"/>
  <c r="AD39" i="18"/>
  <c r="AD38" i="18"/>
  <c r="AD37" i="18"/>
  <c r="AD36" i="18"/>
  <c r="AD35" i="18"/>
  <c r="AD34" i="18"/>
  <c r="AD33" i="18"/>
  <c r="AD32" i="18"/>
  <c r="AD31" i="18"/>
  <c r="AD30" i="18"/>
  <c r="AD29" i="18"/>
  <c r="AD28" i="18"/>
  <c r="AD27" i="18"/>
  <c r="AD26" i="18"/>
  <c r="AD25" i="18"/>
  <c r="AD24" i="18"/>
  <c r="AD23" i="18"/>
  <c r="AD22" i="18"/>
  <c r="AD21" i="18"/>
  <c r="AD20" i="18"/>
  <c r="AD19" i="18"/>
  <c r="AD18" i="18"/>
  <c r="AD17" i="18"/>
  <c r="AD16" i="18"/>
  <c r="AD15" i="18"/>
  <c r="AD14" i="18"/>
  <c r="AD13" i="18"/>
  <c r="AD12" i="18"/>
  <c r="AD11" i="18"/>
  <c r="AD10" i="18"/>
  <c r="AD9" i="18"/>
  <c r="AD8" i="18"/>
  <c r="AD7" i="18"/>
  <c r="AD6" i="18"/>
  <c r="AD5" i="18"/>
  <c r="AD4" i="18"/>
  <c r="AD3" i="18"/>
  <c r="AD2" i="18"/>
  <c r="AE2" i="18" l="1" a="1"/>
  <c r="V65" i="18" l="1" a="1"/>
  <c r="V65" i="18" s="1"/>
  <c r="V16" i="18" a="1"/>
  <c r="V16" i="18" s="1"/>
  <c r="Y5" i="18" a="1"/>
  <c r="Y5" i="18" s="1"/>
  <c r="Y9" i="18" a="1"/>
  <c r="Y9" i="18" s="1"/>
  <c r="X11" i="18" a="1"/>
  <c r="X11" i="18" s="1"/>
  <c r="Z13" i="18" a="1"/>
  <c r="Z13" i="18" s="1"/>
  <c r="X16" i="18" a="1"/>
  <c r="X16" i="18" s="1"/>
  <c r="Z18" i="18" a="1"/>
  <c r="Z18" i="18" s="1"/>
  <c r="Z20" i="18" a="1"/>
  <c r="Z20" i="18" s="1"/>
  <c r="X23" i="18" a="1"/>
  <c r="X23" i="18" s="1"/>
  <c r="Z25" i="18" a="1"/>
  <c r="Z25" i="18" s="1"/>
  <c r="X28" i="18" a="1"/>
  <c r="X28" i="18" s="1"/>
  <c r="Z30" i="18" a="1"/>
  <c r="Z30" i="18" s="1"/>
  <c r="X33" i="18" a="1"/>
  <c r="X33" i="18" s="1"/>
  <c r="Y35" i="18" a="1"/>
  <c r="Y35" i="18" s="1"/>
  <c r="X38" i="18" a="1"/>
  <c r="X38" i="18" s="1"/>
  <c r="Y40" i="18" a="1"/>
  <c r="Y40" i="18" s="1"/>
  <c r="Z42" i="18" a="1"/>
  <c r="Z42" i="18" s="1"/>
  <c r="Z44" i="18" a="1"/>
  <c r="Z44" i="18" s="1"/>
  <c r="Z46" i="18" a="1"/>
  <c r="Z46" i="18" s="1"/>
  <c r="Z48" i="18" a="1"/>
  <c r="Z48" i="18" s="1"/>
  <c r="Y50" i="18" a="1"/>
  <c r="Y50" i="18" s="1"/>
  <c r="Y52" i="18" a="1"/>
  <c r="Y52" i="18" s="1"/>
  <c r="Y54" i="18" a="1"/>
  <c r="Y54" i="18" s="1"/>
  <c r="Y56" i="18" a="1"/>
  <c r="Y56" i="18" s="1"/>
  <c r="Y58" i="18" a="1"/>
  <c r="Y58" i="18" s="1"/>
  <c r="Y60" i="18" a="1"/>
  <c r="Y60" i="18" s="1"/>
  <c r="Y62" i="18" a="1"/>
  <c r="Y62" i="18" s="1"/>
  <c r="Y64" i="18" a="1"/>
  <c r="Y64" i="18" s="1"/>
  <c r="Y66" i="18" a="1"/>
  <c r="Y66" i="18" s="1"/>
  <c r="Y71" i="18" a="1"/>
  <c r="Y71" i="18" s="1"/>
  <c r="Y73" i="18" a="1"/>
  <c r="Y73" i="18" s="1"/>
  <c r="X80" i="18" a="1"/>
  <c r="X80" i="18" s="1"/>
  <c r="Y81" i="18" a="1"/>
  <c r="Y81" i="18" s="1"/>
  <c r="X86" i="18" a="1"/>
  <c r="X86" i="18" s="1"/>
  <c r="Y87" i="18" a="1"/>
  <c r="Y87" i="18" s="1"/>
  <c r="X90" i="18" a="1"/>
  <c r="X90" i="18" s="1"/>
  <c r="X3" i="18" a="1"/>
  <c r="X3" i="18" s="1"/>
  <c r="Z5" i="18" a="1"/>
  <c r="Z5" i="18" s="1"/>
  <c r="Z9" i="18" a="1"/>
  <c r="Z9" i="18" s="1"/>
  <c r="Y11" i="18" a="1"/>
  <c r="Y11" i="18" s="1"/>
  <c r="X14" i="18" a="1"/>
  <c r="X14" i="18" s="1"/>
  <c r="Y16" i="18" a="1"/>
  <c r="Y16" i="18" s="1"/>
  <c r="X21" i="18" a="1"/>
  <c r="X21" i="18" s="1"/>
  <c r="Y23" i="18" a="1"/>
  <c r="Y23" i="18" s="1"/>
  <c r="X26" i="18" a="1"/>
  <c r="X26" i="18" s="1"/>
  <c r="Y28" i="18" a="1"/>
  <c r="Y28" i="18" s="1"/>
  <c r="Y33" i="18" a="1"/>
  <c r="Y33" i="18" s="1"/>
  <c r="Z35" i="18" a="1"/>
  <c r="Z35" i="18" s="1"/>
  <c r="Y38" i="18" a="1"/>
  <c r="Y38" i="18" s="1"/>
  <c r="Z40" i="18" a="1"/>
  <c r="Z40" i="18" s="1"/>
  <c r="Z50" i="18" a="1"/>
  <c r="Z50" i="18" s="1"/>
  <c r="Z52" i="18" a="1"/>
  <c r="Z52" i="18" s="1"/>
  <c r="Z54" i="18" a="1"/>
  <c r="Z54" i="18" s="1"/>
  <c r="Z56" i="18" a="1"/>
  <c r="Z56" i="18" s="1"/>
  <c r="Z58" i="18" a="1"/>
  <c r="Z58" i="18" s="1"/>
  <c r="Z60" i="18" a="1"/>
  <c r="Z60" i="18" s="1"/>
  <c r="Z62" i="18" a="1"/>
  <c r="Z62" i="18" s="1"/>
  <c r="Z64" i="18" a="1"/>
  <c r="Z64" i="18" s="1"/>
  <c r="Z66" i="18" a="1"/>
  <c r="Z66" i="18" s="1"/>
  <c r="X68" i="18" a="1"/>
  <c r="X68" i="18" s="1"/>
  <c r="X70" i="18" a="1"/>
  <c r="X70" i="18" s="1"/>
  <c r="Z71" i="18" a="1"/>
  <c r="Z71" i="18" s="1"/>
  <c r="Z73" i="18" a="1"/>
  <c r="Z73" i="18" s="1"/>
  <c r="X75" i="18" a="1"/>
  <c r="X75" i="18" s="1"/>
  <c r="X77" i="18" a="1"/>
  <c r="X77" i="18" s="1"/>
  <c r="Y80" i="18" a="1"/>
  <c r="Y80" i="18" s="1"/>
  <c r="Z81" i="18" a="1"/>
  <c r="Z81" i="18" s="1"/>
  <c r="X83" i="18" a="1"/>
  <c r="X83" i="18" s="1"/>
  <c r="Z84" i="18" a="1"/>
  <c r="Z84" i="18" s="1"/>
  <c r="Y86" i="18" a="1"/>
  <c r="Y86" i="18" s="1"/>
  <c r="Z87" i="18" a="1"/>
  <c r="Z87" i="18" s="1"/>
  <c r="Y3" i="18" a="1"/>
  <c r="Y3" i="18" s="1"/>
  <c r="Z11" i="18" a="1"/>
  <c r="Z11" i="18" s="1"/>
  <c r="Y14" i="18" a="1"/>
  <c r="Y14" i="18" s="1"/>
  <c r="Z16" i="18" a="1"/>
  <c r="Z16" i="18" s="1"/>
  <c r="X19" i="18" a="1"/>
  <c r="X19" i="18" s="1"/>
  <c r="Y21" i="18" a="1"/>
  <c r="Y21" i="18" s="1"/>
  <c r="Z23" i="18" a="1"/>
  <c r="Z23" i="18" s="1"/>
  <c r="Y26" i="18" a="1"/>
  <c r="Y26" i="18" s="1"/>
  <c r="Z28" i="18" a="1"/>
  <c r="Z28" i="18" s="1"/>
  <c r="X31" i="18" a="1"/>
  <c r="X31" i="18" s="1"/>
  <c r="Z33" i="18" a="1"/>
  <c r="Z33" i="18" s="1"/>
  <c r="X36" i="18" a="1"/>
  <c r="X36" i="18" s="1"/>
  <c r="Z38" i="18" a="1"/>
  <c r="Z38" i="18" s="1"/>
  <c r="X41" i="18" a="1"/>
  <c r="X41" i="18" s="1"/>
  <c r="X43" i="18" a="1"/>
  <c r="X43" i="18" s="1"/>
  <c r="X45" i="18" a="1"/>
  <c r="X45" i="18" s="1"/>
  <c r="X47" i="18" a="1"/>
  <c r="X47" i="18" s="1"/>
  <c r="X49" i="18" a="1"/>
  <c r="X49" i="18" s="1"/>
  <c r="Y68" i="18" a="1"/>
  <c r="Y68" i="18" s="1"/>
  <c r="Y70" i="18" a="1"/>
  <c r="Y70" i="18" s="1"/>
  <c r="Y75" i="18" a="1"/>
  <c r="Y75" i="18" s="1"/>
  <c r="Y77" i="18" a="1"/>
  <c r="Y77" i="18" s="1"/>
  <c r="Y83" i="18" a="1"/>
  <c r="Y83" i="18" s="1"/>
  <c r="X89" i="18" a="1"/>
  <c r="X89" i="18" s="1"/>
  <c r="Y90" i="18" a="1"/>
  <c r="Y90" i="18" s="1"/>
  <c r="Z3" i="18" a="1"/>
  <c r="Z3" i="18" s="1"/>
  <c r="Y10" i="18" a="1"/>
  <c r="Y10" i="18" s="1"/>
  <c r="Y13" i="18" a="1"/>
  <c r="Y13" i="18" s="1"/>
  <c r="Z17" i="18" a="1"/>
  <c r="Z17" i="18" s="1"/>
  <c r="Z21" i="18" a="1"/>
  <c r="Z21" i="18" s="1"/>
  <c r="X25" i="18" a="1"/>
  <c r="X25" i="18" s="1"/>
  <c r="Y29" i="18" a="1"/>
  <c r="Y29" i="18" s="1"/>
  <c r="Z32" i="18" a="1"/>
  <c r="Z32" i="18" s="1"/>
  <c r="X37" i="18" a="1"/>
  <c r="X37" i="18" s="1"/>
  <c r="Y41" i="18" a="1"/>
  <c r="Y41" i="18" s="1"/>
  <c r="X44" i="18" a="1"/>
  <c r="X44" i="18" s="1"/>
  <c r="Z47" i="18" a="1"/>
  <c r="Z47" i="18" s="1"/>
  <c r="X50" i="18" a="1"/>
  <c r="X50" i="18" s="1"/>
  <c r="Z53" i="18" a="1"/>
  <c r="Z53" i="18" s="1"/>
  <c r="X57" i="18" a="1"/>
  <c r="X57" i="18" s="1"/>
  <c r="Y63" i="18" a="1"/>
  <c r="Y63" i="18" s="1"/>
  <c r="X66" i="18" a="1"/>
  <c r="X66" i="18" s="1"/>
  <c r="X69" i="18" a="1"/>
  <c r="X69" i="18" s="1"/>
  <c r="X72" i="18" a="1"/>
  <c r="X72" i="18" s="1"/>
  <c r="Z82" i="18" a="1"/>
  <c r="Z82" i="18" s="1"/>
  <c r="Y89" i="18" a="1"/>
  <c r="Y89" i="18" s="1"/>
  <c r="Y4" i="18" a="1"/>
  <c r="Y4" i="18" s="1"/>
  <c r="X15" i="18" a="1"/>
  <c r="X15" i="18" s="1"/>
  <c r="Y18" i="18" a="1"/>
  <c r="Y18" i="18" s="1"/>
  <c r="Y22" i="18" a="1"/>
  <c r="Y22" i="18" s="1"/>
  <c r="Z26" i="18" a="1"/>
  <c r="Z26" i="18" s="1"/>
  <c r="X30" i="18" a="1"/>
  <c r="X30" i="18" s="1"/>
  <c r="Y34" i="18" a="1"/>
  <c r="Y34" i="18" s="1"/>
  <c r="Z37" i="18" a="1"/>
  <c r="Z37" i="18" s="1"/>
  <c r="Y45" i="18" a="1"/>
  <c r="Y45" i="18" s="1"/>
  <c r="X48" i="18" a="1"/>
  <c r="X48" i="18" s="1"/>
  <c r="Y51" i="18" a="1"/>
  <c r="Y51" i="18" s="1"/>
  <c r="X54" i="18" a="1"/>
  <c r="X54" i="18" s="1"/>
  <c r="Z57" i="18" a="1"/>
  <c r="Z57" i="18" s="1"/>
  <c r="X61" i="18" a="1"/>
  <c r="X61" i="18" s="1"/>
  <c r="Z69" i="18" a="1"/>
  <c r="Z69" i="18" s="1"/>
  <c r="Z72" i="18" a="1"/>
  <c r="Z72" i="18" s="1"/>
  <c r="Z75" i="18" a="1"/>
  <c r="Z75" i="18" s="1"/>
  <c r="Y78" i="18" a="1"/>
  <c r="Y78" i="18" s="1"/>
  <c r="Y85" i="18" a="1"/>
  <c r="Y85" i="18" s="1"/>
  <c r="Z4" i="18" a="1"/>
  <c r="Z4" i="18" s="1"/>
  <c r="X8" i="18" a="1"/>
  <c r="X8" i="18" s="1"/>
  <c r="Y15" i="18" a="1"/>
  <c r="Y15" i="18" s="1"/>
  <c r="Y19" i="18" a="1"/>
  <c r="Y19" i="18" s="1"/>
  <c r="Z22" i="18" a="1"/>
  <c r="Z22" i="18" s="1"/>
  <c r="Y30" i="18" a="1"/>
  <c r="Y30" i="18" s="1"/>
  <c r="Z34" i="18" a="1"/>
  <c r="Z34" i="18" s="1"/>
  <c r="X42" i="18" a="1"/>
  <c r="X42" i="18" s="1"/>
  <c r="Z45" i="18" a="1"/>
  <c r="Z45" i="18" s="1"/>
  <c r="Y48" i="18" a="1"/>
  <c r="Y48" i="18" s="1"/>
  <c r="Z51" i="18" a="1"/>
  <c r="Z51" i="18" s="1"/>
  <c r="X55" i="18" a="1"/>
  <c r="X55" i="18" s="1"/>
  <c r="Y61" i="18" a="1"/>
  <c r="Y61" i="18" s="1"/>
  <c r="X64" i="18" a="1"/>
  <c r="X64" i="18" s="1"/>
  <c r="X67" i="18" a="1"/>
  <c r="X67" i="18" s="1"/>
  <c r="Z70" i="18" a="1"/>
  <c r="Z70" i="18" s="1"/>
  <c r="Z78" i="18" a="1"/>
  <c r="Z78" i="18" s="1"/>
  <c r="Z83" i="18" a="1"/>
  <c r="Z83" i="18" s="1"/>
  <c r="Z85" i="18" a="1"/>
  <c r="Z85" i="18" s="1"/>
  <c r="X88" i="18" a="1"/>
  <c r="X88" i="18" s="1"/>
  <c r="X5" i="18" a="1"/>
  <c r="X5" i="18" s="1"/>
  <c r="Y8" i="18" a="1"/>
  <c r="Y8" i="18" s="1"/>
  <c r="X12" i="18" a="1"/>
  <c r="X12" i="18" s="1"/>
  <c r="Z15" i="18" a="1"/>
  <c r="Z15" i="18" s="1"/>
  <c r="Z19" i="18" a="1"/>
  <c r="Z19" i="18" s="1"/>
  <c r="X27" i="18" a="1"/>
  <c r="X27" i="18" s="1"/>
  <c r="Y31" i="18" a="1"/>
  <c r="Y31" i="18" s="1"/>
  <c r="X39" i="18" a="1"/>
  <c r="X39" i="18" s="1"/>
  <c r="Y42" i="18" a="1"/>
  <c r="Y42" i="18" s="1"/>
  <c r="Y49" i="18" a="1"/>
  <c r="Y49" i="18" s="1"/>
  <c r="Y55" i="18" a="1"/>
  <c r="Y55" i="18" s="1"/>
  <c r="X58" i="18" a="1"/>
  <c r="X58" i="18" s="1"/>
  <c r="Z61" i="18" a="1"/>
  <c r="Z61" i="18" s="1"/>
  <c r="X65" i="18" a="1"/>
  <c r="X65" i="18" s="1"/>
  <c r="Y67" i="18" a="1"/>
  <c r="Y67" i="18" s="1"/>
  <c r="X73" i="18" a="1"/>
  <c r="X73" i="18" s="1"/>
  <c r="X76" i="18" a="1"/>
  <c r="X76" i="18" s="1"/>
  <c r="X79" i="18" a="1"/>
  <c r="X79" i="18" s="1"/>
  <c r="X9" i="18" a="1"/>
  <c r="X9" i="18" s="1"/>
  <c r="Z12" i="18" a="1"/>
  <c r="Z12" i="18" s="1"/>
  <c r="X17" i="18" a="1"/>
  <c r="X17" i="18" s="1"/>
  <c r="X20" i="18" a="1"/>
  <c r="X20" i="18" s="1"/>
  <c r="Y24" i="18" a="1"/>
  <c r="Y24" i="18" s="1"/>
  <c r="Z27" i="18" a="1"/>
  <c r="Z27" i="18" s="1"/>
  <c r="X32" i="18" a="1"/>
  <c r="X32" i="18" s="1"/>
  <c r="Y36" i="18" a="1"/>
  <c r="Y36" i="18" s="1"/>
  <c r="Z39" i="18" a="1"/>
  <c r="Z39" i="18" s="1"/>
  <c r="Z43" i="18" a="1"/>
  <c r="Z43" i="18" s="1"/>
  <c r="Y46" i="18" a="1"/>
  <c r="Y46" i="18" s="1"/>
  <c r="X53" i="18" a="1"/>
  <c r="X53" i="18" s="1"/>
  <c r="Y59" i="18" a="1"/>
  <c r="Y59" i="18" s="1"/>
  <c r="X62" i="18" a="1"/>
  <c r="X62" i="18" s="1"/>
  <c r="Z65" i="18" a="1"/>
  <c r="Z65" i="18" s="1"/>
  <c r="Z68" i="18" a="1"/>
  <c r="Z68" i="18" s="1"/>
  <c r="Y74" i="18" a="1"/>
  <c r="Y74" i="18" s="1"/>
  <c r="Z76" i="18" a="1"/>
  <c r="Z76" i="18" s="1"/>
  <c r="Z79" i="18" a="1"/>
  <c r="Z79" i="18" s="1"/>
  <c r="X82" i="18" a="1"/>
  <c r="X82" i="18" s="1"/>
  <c r="X84" i="18" a="1"/>
  <c r="X84" i="18" s="1"/>
  <c r="Z88" i="18" a="1"/>
  <c r="Z88" i="18" s="1"/>
  <c r="Y25" i="18" a="1"/>
  <c r="Y25" i="18" s="1"/>
  <c r="Z36" i="18" a="1"/>
  <c r="Z36" i="18" s="1"/>
  <c r="X46" i="18" a="1"/>
  <c r="X46" i="18" s="1"/>
  <c r="X63" i="18" a="1"/>
  <c r="X63" i="18" s="1"/>
  <c r="X78" i="18" a="1"/>
  <c r="X78" i="18" s="1"/>
  <c r="Y84" i="18" a="1"/>
  <c r="Y84" i="18" s="1"/>
  <c r="Z90" i="18" a="1"/>
  <c r="Z90" i="18" s="1"/>
  <c r="W88" i="18" a="1"/>
  <c r="W88" i="18" s="1"/>
  <c r="AA88" i="18" s="1" a="1"/>
  <c r="AA88" i="18" s="1"/>
  <c r="W81" i="18" a="1"/>
  <c r="W81" i="18" s="1"/>
  <c r="AA81" i="18" s="1" a="1"/>
  <c r="AA81" i="18" s="1"/>
  <c r="W75" i="18" a="1"/>
  <c r="W75" i="18" s="1"/>
  <c r="AA75" i="18" s="1" a="1"/>
  <c r="AA75" i="18" s="1"/>
  <c r="W67" i="18" a="1"/>
  <c r="W67" i="18" s="1"/>
  <c r="AA67" i="18" s="1" a="1"/>
  <c r="AA67" i="18" s="1"/>
  <c r="W59" i="18" a="1"/>
  <c r="W59" i="18" s="1"/>
  <c r="AA59" i="18" s="1" a="1"/>
  <c r="AA59" i="18" s="1"/>
  <c r="W51" i="18" a="1"/>
  <c r="W51" i="18" s="1"/>
  <c r="AA51" i="18" s="1" a="1"/>
  <c r="AA51" i="18" s="1"/>
  <c r="W43" i="18" a="1"/>
  <c r="W43" i="18" s="1"/>
  <c r="AA43" i="18" s="1" a="1"/>
  <c r="AA43" i="18" s="1"/>
  <c r="W35" i="18" a="1"/>
  <c r="W35" i="18" s="1"/>
  <c r="W27" i="18" a="1"/>
  <c r="W27" i="18" s="1"/>
  <c r="W19" i="18" a="1"/>
  <c r="W19" i="18" s="1"/>
  <c r="W11" i="18" a="1"/>
  <c r="W11" i="18" s="1"/>
  <c r="W3" i="18" a="1"/>
  <c r="W3" i="18" s="1"/>
  <c r="Y17" i="18" a="1"/>
  <c r="Y17" i="18" s="1"/>
  <c r="Y27" i="18" a="1"/>
  <c r="Y27" i="18" s="1"/>
  <c r="Y37" i="18" a="1"/>
  <c r="Y37" i="18" s="1"/>
  <c r="Y47" i="18" a="1"/>
  <c r="Y47" i="18" s="1"/>
  <c r="Z55" i="18" a="1"/>
  <c r="Z55" i="18" s="1"/>
  <c r="Z63" i="18" a="1"/>
  <c r="Z63" i="18" s="1"/>
  <c r="X71" i="18" a="1"/>
  <c r="X71" i="18" s="1"/>
  <c r="Y79" i="18" a="1"/>
  <c r="Y79" i="18" s="1"/>
  <c r="X85" i="18" a="1"/>
  <c r="X85" i="18" s="1"/>
  <c r="W87" i="18" a="1"/>
  <c r="W87" i="18" s="1"/>
  <c r="AA87" i="18" s="1" a="1"/>
  <c r="AA87" i="18" s="1"/>
  <c r="W74" i="18" a="1"/>
  <c r="W74" i="18" s="1"/>
  <c r="AA74" i="18" s="1" a="1"/>
  <c r="AA74" i="18" s="1"/>
  <c r="W66" i="18" a="1"/>
  <c r="W66" i="18" s="1"/>
  <c r="AA66" i="18" s="1" a="1"/>
  <c r="AA66" i="18" s="1"/>
  <c r="W58" i="18" a="1"/>
  <c r="W58" i="18" s="1"/>
  <c r="AA58" i="18" s="1" a="1"/>
  <c r="AA58" i="18" s="1"/>
  <c r="W50" i="18" a="1"/>
  <c r="W50" i="18" s="1"/>
  <c r="AA50" i="18" s="1" a="1"/>
  <c r="AA50" i="18" s="1"/>
  <c r="W42" i="18" a="1"/>
  <c r="W42" i="18" s="1"/>
  <c r="AA42" i="18" s="1" a="1"/>
  <c r="AA42" i="18" s="1"/>
  <c r="W34" i="18" a="1"/>
  <c r="W34" i="18" s="1"/>
  <c r="W26" i="18" a="1"/>
  <c r="W26" i="18" s="1"/>
  <c r="W18" i="18" a="1"/>
  <c r="W18" i="18" s="1"/>
  <c r="W10" i="18" a="1"/>
  <c r="W10" i="18" s="1"/>
  <c r="Z8" i="18" a="1"/>
  <c r="Z8" i="18" s="1"/>
  <c r="X18" i="18" a="1"/>
  <c r="X18" i="18" s="1"/>
  <c r="X29" i="18" a="1"/>
  <c r="X29" i="18" s="1"/>
  <c r="Y39" i="18" a="1"/>
  <c r="Y39" i="18" s="1"/>
  <c r="X56" i="18" a="1"/>
  <c r="X56" i="18" s="1"/>
  <c r="Y65" i="18" a="1"/>
  <c r="Y65" i="18" s="1"/>
  <c r="Y72" i="18" a="1"/>
  <c r="Y72" i="18" s="1"/>
  <c r="Z86" i="18" a="1"/>
  <c r="Z86" i="18" s="1"/>
  <c r="W86" i="18" a="1"/>
  <c r="W86" i="18" s="1"/>
  <c r="AA86" i="18" s="1" a="1"/>
  <c r="AA86" i="18" s="1"/>
  <c r="W80" i="18" a="1"/>
  <c r="W80" i="18" s="1"/>
  <c r="AA80" i="18" s="1" a="1"/>
  <c r="AA80" i="18" s="1"/>
  <c r="W73" i="18" a="1"/>
  <c r="W73" i="18" s="1"/>
  <c r="AA73" i="18" s="1" a="1"/>
  <c r="AA73" i="18" s="1"/>
  <c r="W65" i="18" a="1"/>
  <c r="W65" i="18" s="1"/>
  <c r="AA65" i="18" s="1" a="1"/>
  <c r="AA65" i="18" s="1"/>
  <c r="W57" i="18" a="1"/>
  <c r="W57" i="18" s="1"/>
  <c r="AA57" i="18" s="1" a="1"/>
  <c r="AA57" i="18" s="1"/>
  <c r="W49" i="18" a="1"/>
  <c r="W49" i="18" s="1"/>
  <c r="AA49" i="18" s="1" a="1"/>
  <c r="AA49" i="18" s="1"/>
  <c r="W41" i="18" a="1"/>
  <c r="W41" i="18" s="1"/>
  <c r="W33" i="18" a="1"/>
  <c r="W33" i="18" s="1"/>
  <c r="W25" i="18" a="1"/>
  <c r="W25" i="18" s="1"/>
  <c r="W17" i="18" a="1"/>
  <c r="W17" i="18" s="1"/>
  <c r="W9" i="18" a="1"/>
  <c r="W9" i="18" s="1"/>
  <c r="X10" i="18" a="1"/>
  <c r="X10" i="18" s="1"/>
  <c r="Z29" i="18" a="1"/>
  <c r="Z29" i="18" s="1"/>
  <c r="X40" i="18" a="1"/>
  <c r="X40" i="18" s="1"/>
  <c r="Z49" i="18" a="1"/>
  <c r="Z49" i="18" s="1"/>
  <c r="Y57" i="18" a="1"/>
  <c r="Y57" i="18" s="1"/>
  <c r="X74" i="18" a="1"/>
  <c r="X74" i="18" s="1"/>
  <c r="Z80" i="18" a="1"/>
  <c r="Z80" i="18" s="1"/>
  <c r="W85" i="18" a="1"/>
  <c r="W85" i="18" s="1"/>
  <c r="AA85" i="18" s="1" a="1"/>
  <c r="AA85" i="18" s="1"/>
  <c r="W79" i="18" a="1"/>
  <c r="W79" i="18" s="1"/>
  <c r="AA79" i="18" s="1" a="1"/>
  <c r="AA79" i="18" s="1"/>
  <c r="W72" i="18" a="1"/>
  <c r="W72" i="18" s="1"/>
  <c r="AA72" i="18" s="1" a="1"/>
  <c r="AA72" i="18" s="1"/>
  <c r="W64" i="18" a="1"/>
  <c r="W64" i="18" s="1"/>
  <c r="AA64" i="18" s="1" a="1"/>
  <c r="AA64" i="18" s="1"/>
  <c r="W56" i="18" a="1"/>
  <c r="W56" i="18" s="1"/>
  <c r="AA56" i="18" s="1" a="1"/>
  <c r="AA56" i="18" s="1"/>
  <c r="W48" i="18" a="1"/>
  <c r="W48" i="18" s="1"/>
  <c r="AA48" i="18" s="1" a="1"/>
  <c r="AA48" i="18" s="1"/>
  <c r="W40" i="18" a="1"/>
  <c r="W40" i="18" s="1"/>
  <c r="W32" i="18" a="1"/>
  <c r="W32" i="18" s="1"/>
  <c r="W24" i="18" a="1"/>
  <c r="W24" i="18" s="1"/>
  <c r="W16" i="18" a="1"/>
  <c r="W16" i="18" s="1"/>
  <c r="W8" i="18" a="1"/>
  <c r="W8" i="18" s="1"/>
  <c r="Y12" i="18" a="1"/>
  <c r="Y12" i="18" s="1"/>
  <c r="X22" i="18" a="1"/>
  <c r="X22" i="18" s="1"/>
  <c r="Y32" i="18" a="1"/>
  <c r="Y32" i="18" s="1"/>
  <c r="Y43" i="18" a="1"/>
  <c r="Y43" i="18" s="1"/>
  <c r="X51" i="18" a="1"/>
  <c r="X51" i="18" s="1"/>
  <c r="Z59" i="18" a="1"/>
  <c r="Z59" i="18" s="1"/>
  <c r="Z67" i="18" a="1"/>
  <c r="Z67" i="18" s="1"/>
  <c r="Y82" i="18" a="1"/>
  <c r="Y82" i="18" s="1"/>
  <c r="Y88" i="18" a="1"/>
  <c r="Y88" i="18" s="1"/>
  <c r="W90" i="18" a="1"/>
  <c r="W90" i="18" s="1"/>
  <c r="AA90" i="18" s="1" a="1"/>
  <c r="AA90" i="18" s="1"/>
  <c r="W84" i="18" a="1"/>
  <c r="W84" i="18" s="1"/>
  <c r="AA84" i="18" s="1" a="1"/>
  <c r="AA84" i="18" s="1"/>
  <c r="W77" i="18" a="1"/>
  <c r="W77" i="18" s="1"/>
  <c r="AA77" i="18" s="1" a="1"/>
  <c r="AA77" i="18" s="1"/>
  <c r="W70" i="18" a="1"/>
  <c r="W70" i="18" s="1"/>
  <c r="AA70" i="18" s="1" a="1"/>
  <c r="AA70" i="18" s="1"/>
  <c r="W62" i="18" a="1"/>
  <c r="W62" i="18" s="1"/>
  <c r="AA62" i="18" s="1" a="1"/>
  <c r="AA62" i="18" s="1"/>
  <c r="W54" i="18" a="1"/>
  <c r="W54" i="18" s="1"/>
  <c r="AA54" i="18" s="1" a="1"/>
  <c r="AA54" i="18" s="1"/>
  <c r="W46" i="18" a="1"/>
  <c r="W46" i="18" s="1"/>
  <c r="AA46" i="18" s="1" a="1"/>
  <c r="AA46" i="18" s="1"/>
  <c r="W38" i="18" a="1"/>
  <c r="W38" i="18" s="1"/>
  <c r="W30" i="18" a="1"/>
  <c r="W30" i="18" s="1"/>
  <c r="W22" i="18" a="1"/>
  <c r="W22" i="18" s="1"/>
  <c r="W14" i="18" a="1"/>
  <c r="W14" i="18" s="1"/>
  <c r="X4" i="18" a="1"/>
  <c r="X4" i="18" s="1"/>
  <c r="Z31" i="18" a="1"/>
  <c r="Z31" i="18" s="1"/>
  <c r="Y53" i="18" a="1"/>
  <c r="Y53" i="18" s="1"/>
  <c r="Y76" i="18" a="1"/>
  <c r="Y76" i="18" s="1"/>
  <c r="W82" i="18" a="1"/>
  <c r="W82" i="18" s="1"/>
  <c r="AA82" i="18" s="1" a="1"/>
  <c r="AA82" i="18" s="1"/>
  <c r="W61" i="18" a="1"/>
  <c r="W61" i="18" s="1"/>
  <c r="AA61" i="18" s="1" a="1"/>
  <c r="AA61" i="18" s="1"/>
  <c r="W39" i="18" a="1"/>
  <c r="W39" i="18" s="1"/>
  <c r="W20" i="18" a="1"/>
  <c r="W20" i="18" s="1"/>
  <c r="V82" i="18" a="1"/>
  <c r="V82" i="18" s="1"/>
  <c r="V76" i="18" a="1"/>
  <c r="V76" i="18" s="1"/>
  <c r="V69" i="18" a="1"/>
  <c r="V69" i="18" s="1"/>
  <c r="V63" i="18" a="1"/>
  <c r="V63" i="18" s="1"/>
  <c r="V56" i="18" a="1"/>
  <c r="V56" i="18" s="1"/>
  <c r="V48" i="18" a="1"/>
  <c r="V48" i="18" s="1"/>
  <c r="V40" i="18" a="1"/>
  <c r="V40" i="18" s="1"/>
  <c r="V32" i="18" a="1"/>
  <c r="V32" i="18" s="1"/>
  <c r="V24" i="18" a="1"/>
  <c r="V24" i="18" s="1"/>
  <c r="V8" i="18" a="1"/>
  <c r="V8" i="18" s="1"/>
  <c r="X34" i="18" a="1"/>
  <c r="X34" i="18" s="1"/>
  <c r="X59" i="18" a="1"/>
  <c r="X59" i="18" s="1"/>
  <c r="Z77" i="18" a="1"/>
  <c r="Z77" i="18" s="1"/>
  <c r="W78" i="18" a="1"/>
  <c r="W78" i="18" s="1"/>
  <c r="AA78" i="18" s="1" a="1"/>
  <c r="AA78" i="18" s="1"/>
  <c r="W60" i="18" a="1"/>
  <c r="W60" i="18" s="1"/>
  <c r="AA60" i="18" s="1" a="1"/>
  <c r="AA60" i="18" s="1"/>
  <c r="W37" i="18" a="1"/>
  <c r="W37" i="18" s="1"/>
  <c r="W15" i="18" a="1"/>
  <c r="W15" i="18" s="1"/>
  <c r="V88" i="18" a="1"/>
  <c r="V88" i="18" s="1"/>
  <c r="V81" i="18" a="1"/>
  <c r="V81" i="18" s="1"/>
  <c r="V75" i="18" a="1"/>
  <c r="V75" i="18" s="1"/>
  <c r="V62" i="18" a="1"/>
  <c r="V62" i="18" s="1"/>
  <c r="V55" i="18" a="1"/>
  <c r="V55" i="18" s="1"/>
  <c r="V47" i="18" a="1"/>
  <c r="V47" i="18" s="1"/>
  <c r="V39" i="18" a="1"/>
  <c r="V39" i="18" s="1"/>
  <c r="V31" i="18" a="1"/>
  <c r="V31" i="18" s="1"/>
  <c r="V23" i="18" a="1"/>
  <c r="V23" i="18" s="1"/>
  <c r="V15" i="18" a="1"/>
  <c r="V15" i="18" s="1"/>
  <c r="W83" i="18" a="1"/>
  <c r="W83" i="18" s="1"/>
  <c r="AA83" i="18" s="1" a="1"/>
  <c r="AA83" i="18" s="1"/>
  <c r="V70" i="18" a="1"/>
  <c r="V70" i="18" s="1"/>
  <c r="V41" i="18" a="1"/>
  <c r="V41" i="18" s="1"/>
  <c r="Z10" i="18" a="1"/>
  <c r="Z10" i="18" s="1"/>
  <c r="X35" i="18" a="1"/>
  <c r="X35" i="18" s="1"/>
  <c r="X60" i="18" a="1"/>
  <c r="X60" i="18" s="1"/>
  <c r="X81" i="18" a="1"/>
  <c r="X81" i="18" s="1"/>
  <c r="W55" i="18" a="1"/>
  <c r="W55" i="18" s="1"/>
  <c r="AA55" i="18" s="1" a="1"/>
  <c r="AA55" i="18" s="1"/>
  <c r="W36" i="18" a="1"/>
  <c r="W36" i="18" s="1"/>
  <c r="W13" i="18" a="1"/>
  <c r="W13" i="18" s="1"/>
  <c r="V87" i="18" a="1"/>
  <c r="V87" i="18" s="1"/>
  <c r="V74" i="18" a="1"/>
  <c r="V74" i="18" s="1"/>
  <c r="V68" i="18" a="1"/>
  <c r="V68" i="18" s="1"/>
  <c r="V61" i="18" a="1"/>
  <c r="V61" i="18" s="1"/>
  <c r="V54" i="18" a="1"/>
  <c r="V54" i="18" s="1"/>
  <c r="V46" i="18" a="1"/>
  <c r="V46" i="18" s="1"/>
  <c r="V38" i="18" a="1"/>
  <c r="V38" i="18" s="1"/>
  <c r="V30" i="18" a="1"/>
  <c r="V30" i="18" s="1"/>
  <c r="V22" i="18" a="1"/>
  <c r="V22" i="18" s="1"/>
  <c r="V14" i="18" a="1"/>
  <c r="V14" i="18" s="1"/>
  <c r="W63" i="18" a="1"/>
  <c r="W63" i="18" s="1"/>
  <c r="AA63" i="18" s="1" a="1"/>
  <c r="AA63" i="18" s="1"/>
  <c r="V33" i="18" a="1"/>
  <c r="V33" i="18" s="1"/>
  <c r="X13" i="18" a="1"/>
  <c r="X13" i="18" s="1"/>
  <c r="Z41" i="18" a="1"/>
  <c r="Z41" i="18" s="1"/>
  <c r="W76" i="18" a="1"/>
  <c r="W76" i="18" s="1"/>
  <c r="AA76" i="18" s="1" a="1"/>
  <c r="AA76" i="18" s="1"/>
  <c r="W53" i="18" a="1"/>
  <c r="W53" i="18" s="1"/>
  <c r="AA53" i="18" s="1" a="1"/>
  <c r="AA53" i="18" s="1"/>
  <c r="W31" i="18" a="1"/>
  <c r="W31" i="18" s="1"/>
  <c r="W12" i="18" a="1"/>
  <c r="W12" i="18" s="1"/>
  <c r="V86" i="18" a="1"/>
  <c r="V86" i="18" s="1"/>
  <c r="V80" i="18" a="1"/>
  <c r="V80" i="18" s="1"/>
  <c r="V73" i="18" a="1"/>
  <c r="V73" i="18" s="1"/>
  <c r="V67" i="18" a="1"/>
  <c r="V67" i="18" s="1"/>
  <c r="V53" i="18" a="1"/>
  <c r="V53" i="18" s="1"/>
  <c r="V45" i="18" a="1"/>
  <c r="V45" i="18" s="1"/>
  <c r="V37" i="18" a="1"/>
  <c r="V37" i="18" s="1"/>
  <c r="V29" i="18" a="1"/>
  <c r="V29" i="18" s="1"/>
  <c r="V21" i="18" a="1"/>
  <c r="V21" i="18" s="1"/>
  <c r="V13" i="18" a="1"/>
  <c r="V13" i="18" s="1"/>
  <c r="V5" i="18" a="1"/>
  <c r="V5" i="18" s="1"/>
  <c r="X52" i="18" a="1"/>
  <c r="X52" i="18" s="1"/>
  <c r="V17" i="18" a="1"/>
  <c r="V17" i="18" s="1"/>
  <c r="Z14" i="18" a="1"/>
  <c r="Z14" i="18" s="1"/>
  <c r="W89" i="18" a="1"/>
  <c r="W89" i="18" s="1"/>
  <c r="AA89" i="18" s="1" a="1"/>
  <c r="AA89" i="18" s="1"/>
  <c r="W71" i="18" a="1"/>
  <c r="W71" i="18" s="1"/>
  <c r="AA71" i="18" s="1" a="1"/>
  <c r="AA71" i="18" s="1"/>
  <c r="W52" i="18" a="1"/>
  <c r="W52" i="18" s="1"/>
  <c r="AA52" i="18" s="1" a="1"/>
  <c r="AA52" i="18" s="1"/>
  <c r="W29" i="18" a="1"/>
  <c r="W29" i="18" s="1"/>
  <c r="V85" i="18" a="1"/>
  <c r="V85" i="18" s="1"/>
  <c r="V79" i="18" a="1"/>
  <c r="V79" i="18" s="1"/>
  <c r="V66" i="18" a="1"/>
  <c r="V66" i="18" s="1"/>
  <c r="V60" i="18" a="1"/>
  <c r="V60" i="18" s="1"/>
  <c r="V52" i="18" a="1"/>
  <c r="V52" i="18" s="1"/>
  <c r="V44" i="18" a="1"/>
  <c r="V44" i="18" s="1"/>
  <c r="V36" i="18" a="1"/>
  <c r="V36" i="18" s="1"/>
  <c r="V28" i="18" a="1"/>
  <c r="V28" i="18" s="1"/>
  <c r="V20" i="18" a="1"/>
  <c r="V20" i="18" s="1"/>
  <c r="V12" i="18" a="1"/>
  <c r="V12" i="18" s="1"/>
  <c r="V4" i="18" a="1"/>
  <c r="V4" i="18" s="1"/>
  <c r="Z89" i="18" a="1"/>
  <c r="Z89" i="18" s="1"/>
  <c r="V57" i="18" a="1"/>
  <c r="V57" i="18" s="1"/>
  <c r="V9" i="18" a="1"/>
  <c r="V9" i="18" s="1"/>
  <c r="Y20" i="18" a="1"/>
  <c r="Y20" i="18" s="1"/>
  <c r="Y44" i="18" a="1"/>
  <c r="Y44" i="18" s="1"/>
  <c r="X87" i="18" a="1"/>
  <c r="X87" i="18" s="1"/>
  <c r="W69" i="18" a="1"/>
  <c r="W69" i="18" s="1"/>
  <c r="AA69" i="18" s="1" a="1"/>
  <c r="AA69" i="18" s="1"/>
  <c r="W47" i="18" a="1"/>
  <c r="W47" i="18" s="1"/>
  <c r="AA47" i="18" s="1" a="1"/>
  <c r="AA47" i="18" s="1"/>
  <c r="W28" i="18" a="1"/>
  <c r="W28" i="18" s="1"/>
  <c r="W5" i="18" a="1"/>
  <c r="W5" i="18" s="1"/>
  <c r="V78" i="18" a="1"/>
  <c r="V78" i="18" s="1"/>
  <c r="V72" i="18" a="1"/>
  <c r="V72" i="18" s="1"/>
  <c r="V59" i="18" a="1"/>
  <c r="V59" i="18" s="1"/>
  <c r="V51" i="18" a="1"/>
  <c r="V51" i="18" s="1"/>
  <c r="V43" i="18" a="1"/>
  <c r="V43" i="18" s="1"/>
  <c r="V35" i="18" a="1"/>
  <c r="V35" i="18" s="1"/>
  <c r="V27" i="18" a="1"/>
  <c r="V27" i="18" s="1"/>
  <c r="V19" i="18" a="1"/>
  <c r="V19" i="18" s="1"/>
  <c r="V11" i="18" a="1"/>
  <c r="V11" i="18" s="1"/>
  <c r="V3" i="18" a="1"/>
  <c r="V3" i="18" s="1"/>
  <c r="Z74" i="18" a="1"/>
  <c r="Z74" i="18" s="1"/>
  <c r="W44" i="18" a="1"/>
  <c r="W44" i="18" s="1"/>
  <c r="AA44" i="18" s="1" a="1"/>
  <c r="AA44" i="18" s="1"/>
  <c r="V89" i="18" a="1"/>
  <c r="V89" i="18" s="1"/>
  <c r="V64" i="18" a="1"/>
  <c r="V64" i="18" s="1"/>
  <c r="V25" i="18" a="1"/>
  <c r="V25" i="18" s="1"/>
  <c r="X24" i="18" a="1"/>
  <c r="X24" i="18" s="1"/>
  <c r="Y69" i="18" a="1"/>
  <c r="Y69" i="18" s="1"/>
  <c r="W68" i="18" a="1"/>
  <c r="W68" i="18" s="1"/>
  <c r="AA68" i="18" s="1" a="1"/>
  <c r="AA68" i="18" s="1"/>
  <c r="W45" i="18" a="1"/>
  <c r="W45" i="18" s="1"/>
  <c r="W23" i="18" a="1"/>
  <c r="W23" i="18" s="1"/>
  <c r="W4" i="18" a="1"/>
  <c r="W4" i="18" s="1"/>
  <c r="V90" i="18" a="1"/>
  <c r="V90" i="18" s="1"/>
  <c r="V84" i="18" a="1"/>
  <c r="V84" i="18" s="1"/>
  <c r="V77" i="18" a="1"/>
  <c r="V77" i="18" s="1"/>
  <c r="V71" i="18" a="1"/>
  <c r="V71" i="18" s="1"/>
  <c r="V58" i="18" a="1"/>
  <c r="V58" i="18" s="1"/>
  <c r="V50" i="18" a="1"/>
  <c r="V50" i="18" s="1"/>
  <c r="V42" i="18" a="1"/>
  <c r="V42" i="18" s="1"/>
  <c r="V34" i="18" a="1"/>
  <c r="V34" i="18" s="1"/>
  <c r="V26" i="18" a="1"/>
  <c r="V26" i="18" s="1"/>
  <c r="V18" i="18" a="1"/>
  <c r="V18" i="18" s="1"/>
  <c r="V10" i="18" a="1"/>
  <c r="V10" i="18" s="1"/>
  <c r="Z24" i="18" a="1"/>
  <c r="Z24" i="18" s="1"/>
  <c r="W21" i="18" a="1"/>
  <c r="W21" i="18" s="1"/>
  <c r="V83" i="18" a="1"/>
  <c r="V83" i="18" s="1"/>
  <c r="V49" i="18" a="1"/>
  <c r="V49" i="18" s="1"/>
  <c r="AE2" i="18"/>
  <c r="T2" i="18" s="1" a="1"/>
  <c r="T2" i="18" s="1"/>
  <c r="V7" i="18" l="1" a="1"/>
  <c r="V7" i="18" s="1"/>
  <c r="V6" i="18" a="1"/>
  <c r="W7" i="18" a="1"/>
  <c r="W7" i="18" s="1"/>
  <c r="X7" i="18" a="1"/>
  <c r="X7" i="18" s="1"/>
  <c r="Y7" i="18" a="1"/>
  <c r="Y7" i="18" s="1"/>
  <c r="Z7" i="18" a="1"/>
  <c r="Z7" i="18" s="1"/>
  <c r="Y6" i="18" a="1"/>
  <c r="Z6" i="18" a="1"/>
  <c r="X6" i="18" a="1"/>
  <c r="W6" i="18" a="1"/>
  <c r="AA45" i="18" a="1"/>
  <c r="AA45" i="18" s="1"/>
  <c r="AA30" i="18" a="1"/>
  <c r="AA30" i="18" s="1"/>
  <c r="V2" i="18" a="1"/>
  <c r="V2" i="18" s="1"/>
  <c r="AA41" i="18" a="1"/>
  <c r="AA41" i="18" s="1"/>
  <c r="AA24" i="18" a="1"/>
  <c r="AA24" i="18" s="1"/>
  <c r="Y2" i="18" a="1"/>
  <c r="Y2" i="18" s="1"/>
  <c r="U2" i="18" a="1"/>
  <c r="U2" i="18" s="1"/>
  <c r="AA22" i="18" a="1"/>
  <c r="AA22" i="18" s="1"/>
  <c r="AA19" i="18" a="1"/>
  <c r="AA19" i="18" s="1"/>
  <c r="AA34" i="18" a="1"/>
  <c r="AA34" i="18" s="1"/>
  <c r="AA38" i="18" a="1"/>
  <c r="AA38" i="18" s="1"/>
  <c r="AA20" i="18" a="1"/>
  <c r="AA20" i="18" s="1"/>
  <c r="AA27" i="18" a="1"/>
  <c r="AA27" i="18" s="1"/>
  <c r="AA18" i="18" a="1"/>
  <c r="AA18" i="18" s="1"/>
  <c r="AA26" i="18" a="1"/>
  <c r="AA26" i="18" s="1"/>
  <c r="AA28" i="18" a="1"/>
  <c r="AA28" i="18" s="1"/>
  <c r="AA29" i="18" a="1"/>
  <c r="AA29" i="18" s="1"/>
  <c r="AA15" i="18" a="1"/>
  <c r="AA15" i="18" s="1"/>
  <c r="AA14" i="18" a="1"/>
  <c r="AA14" i="18" s="1"/>
  <c r="AA10" i="18" a="1"/>
  <c r="AA10" i="18" s="1"/>
  <c r="AA11" i="18" a="1"/>
  <c r="AA11" i="18" s="1"/>
  <c r="X2" i="18" a="1"/>
  <c r="X2" i="18" s="1"/>
  <c r="AA4" i="18" a="1"/>
  <c r="AA4" i="18" s="1"/>
  <c r="AA3" i="18" a="1"/>
  <c r="AA3" i="18" s="1"/>
  <c r="AA9" i="18" a="1"/>
  <c r="AA9" i="18" s="1"/>
  <c r="AA8" i="18" a="1"/>
  <c r="AA8" i="18" s="1"/>
  <c r="AA32" i="18" a="1"/>
  <c r="AA32" i="18" s="1"/>
  <c r="AA23" i="18" a="1"/>
  <c r="AA23" i="18" s="1"/>
  <c r="AA12" i="18" a="1"/>
  <c r="AA12" i="18" s="1"/>
  <c r="AA37" i="18" a="1"/>
  <c r="AA37" i="18" s="1"/>
  <c r="AA5" i="18" a="1"/>
  <c r="AA5" i="18" s="1"/>
  <c r="AA13" i="18" a="1"/>
  <c r="AA13" i="18" s="1"/>
  <c r="Z2" i="18" a="1"/>
  <c r="Z2" i="18" s="1"/>
  <c r="AA31" i="18" a="1"/>
  <c r="AA31" i="18" s="1"/>
  <c r="AA36" i="18" a="1"/>
  <c r="AA36" i="18" s="1"/>
  <c r="AA39" i="18" a="1"/>
  <c r="AA39" i="18" s="1"/>
  <c r="AA40" i="18" a="1"/>
  <c r="AA40" i="18" s="1"/>
  <c r="AA21" i="18" a="1"/>
  <c r="AA21" i="18" s="1"/>
  <c r="AA16" i="18" a="1"/>
  <c r="AA16" i="18" s="1"/>
  <c r="W2" i="18" a="1"/>
  <c r="W2" i="18" s="1"/>
  <c r="AA17" i="18" a="1"/>
  <c r="AA17" i="18" s="1"/>
  <c r="AA33" i="18" a="1"/>
  <c r="AA33" i="18" s="1"/>
  <c r="AA35" i="18" a="1"/>
  <c r="AA35" i="18" s="1"/>
  <c r="AA25" i="18" a="1"/>
  <c r="AA25" i="18" s="1"/>
  <c r="V6" i="18" l="1"/>
  <c r="Z6" i="18"/>
  <c r="X6" i="18"/>
  <c r="AA7" i="18" a="1"/>
  <c r="AA7" i="18" s="1"/>
  <c r="Y6" i="18"/>
  <c r="W6" i="18"/>
  <c r="AA6" i="18" s="1" a="1"/>
  <c r="AA2" i="18" a="1"/>
  <c r="AA2" i="18" s="1"/>
  <c r="AA6" i="18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<sst xmlns="http://schemas.openxmlformats.org/spreadsheetml/2006/main" count="3892" uniqueCount="210">
  <si>
    <t>Tipo</t>
  </si>
  <si>
    <t>Arrendatario</t>
  </si>
  <si>
    <t>Un.</t>
  </si>
  <si>
    <t>Útil</t>
  </si>
  <si>
    <t>Vacante</t>
  </si>
  <si>
    <t>m²</t>
  </si>
  <si>
    <t>Oficinas</t>
  </si>
  <si>
    <t>Locales</t>
  </si>
  <si>
    <t>Bodegas</t>
  </si>
  <si>
    <t>-</t>
  </si>
  <si>
    <t>Estacionamientos</t>
  </si>
  <si>
    <t>Sociedad</t>
  </si>
  <si>
    <t>Interior</t>
  </si>
  <si>
    <t>Terraza</t>
  </si>
  <si>
    <t>Piso</t>
  </si>
  <si>
    <t>Vencimiento</t>
  </si>
  <si>
    <t>UF/m² - UF/un.</t>
  </si>
  <si>
    <t>Canon Mensual (UF)</t>
  </si>
  <si>
    <t>Unidad</t>
  </si>
  <si>
    <t>Unidades</t>
  </si>
  <si>
    <t>Salida anticipada</t>
  </si>
  <si>
    <t>Detalle</t>
  </si>
  <si>
    <t>BLACK ROCK CHILE ASESORIAS LTDA</t>
  </si>
  <si>
    <t>TECNIMONT CHILE</t>
  </si>
  <si>
    <t>STELLANTIS CHILE S.A</t>
  </si>
  <si>
    <t>SYMNETICS S.A.</t>
  </si>
  <si>
    <t>REGUS BUSSINESS CENTRE DE CHILE II S.A.</t>
  </si>
  <si>
    <t>JOHNSON HEALTH TECH CHILE SpA</t>
  </si>
  <si>
    <t>2201 A</t>
  </si>
  <si>
    <t>SPENCER STUART INTERNATIONAL CHILE LTDA.</t>
  </si>
  <si>
    <t>2201 B</t>
  </si>
  <si>
    <t>AMLV GRUPO DOS SPA</t>
  </si>
  <si>
    <t>SUMITOMO MITSUI BANKING Co.</t>
  </si>
  <si>
    <t>ALFRED H. KNIGHT INTERNATIONAL LIMITED CHILE LTDA.</t>
  </si>
  <si>
    <t>CONTOURGLOBAL RIPTIDE HOLDCO CHILE SpA</t>
  </si>
  <si>
    <t>BOEHRINGER INGELHEIM LIMITADA</t>
  </si>
  <si>
    <t>DEVON INVERSIONES SpA</t>
  </si>
  <si>
    <t>1701 A</t>
  </si>
  <si>
    <t>1701 B</t>
  </si>
  <si>
    <t>GLOBALFLEX CHILE SPA</t>
  </si>
  <si>
    <t>1701 C</t>
  </si>
  <si>
    <t>HITHIUM ENERGY STORAGE CHILE SPA</t>
  </si>
  <si>
    <t>RED ELECTRICA SPA</t>
  </si>
  <si>
    <t>INMOBILIARIA KAUFMANN S.A.</t>
  </si>
  <si>
    <t>PRICE FORBES CHILE S.A.</t>
  </si>
  <si>
    <t>UKA CHILE y CIA</t>
  </si>
  <si>
    <t>LANDMARK CAPITAL S.A</t>
  </si>
  <si>
    <t>EMBAJADA DE NUEVA ZELANDIA</t>
  </si>
  <si>
    <t>GIMNASIOS BIORITMO SPA</t>
  </si>
  <si>
    <t>FERRER Y PADILLA LTDA.</t>
  </si>
  <si>
    <t>uso y goce</t>
  </si>
  <si>
    <t>SOURCING SPA</t>
  </si>
  <si>
    <t>(a)</t>
  </si>
  <si>
    <t>(b)</t>
  </si>
  <si>
    <t>COMMON SPACE</t>
  </si>
  <si>
    <t>common space (emergency exit)</t>
  </si>
  <si>
    <t>SEBASTIAN FERRER ESCUELA SPA</t>
  </si>
  <si>
    <t>EAGLE CLUB SPA</t>
  </si>
  <si>
    <t>May 31, 2030</t>
  </si>
  <si>
    <t>TURKISH AIRLINES, INC. AGENCIA EN CHILE</t>
  </si>
  <si>
    <t>June 22, 2031</t>
  </si>
  <si>
    <t>DEUTSCHE PHARMA S.A.</t>
  </si>
  <si>
    <t>GRUPO URBANA</t>
  </si>
  <si>
    <t>Uso y Goce Bodega</t>
  </si>
  <si>
    <t>VILAPERT</t>
  </si>
  <si>
    <t>BANCO SANTANDER WORK CAFÉ</t>
  </si>
  <si>
    <t>KOMAX S.A.</t>
  </si>
  <si>
    <t>TENGU SPA</t>
  </si>
  <si>
    <t>104 B</t>
  </si>
  <si>
    <t>104 C</t>
  </si>
  <si>
    <t>105 B</t>
  </si>
  <si>
    <t>COMPAÑÍA DE LEASING TATTERSAL S.A</t>
  </si>
  <si>
    <t>106 A</t>
  </si>
  <si>
    <t>106 B</t>
  </si>
  <si>
    <t>OFFICE LOBBY</t>
  </si>
  <si>
    <t>106 C</t>
  </si>
  <si>
    <t>INVERSIONES DOÑA DELFINA SPA</t>
  </si>
  <si>
    <t>S-101</t>
  </si>
  <si>
    <t>MERCADO ISIDORA GOURMET SPA</t>
  </si>
  <si>
    <t>S-102</t>
  </si>
  <si>
    <t>S-103</t>
  </si>
  <si>
    <t>INTERCIGAR COMERCIAL LTDA</t>
  </si>
  <si>
    <t>S-104</t>
  </si>
  <si>
    <t>S-105 A</t>
  </si>
  <si>
    <t>S-105 B</t>
  </si>
  <si>
    <t>S-106 A</t>
  </si>
  <si>
    <t>S-106 B</t>
  </si>
  <si>
    <t>S-106 A/B</t>
  </si>
  <si>
    <t>PROGARANTIA S.A.G.R</t>
  </si>
  <si>
    <t>S-107</t>
  </si>
  <si>
    <t>(pisos -1 y -2)</t>
  </si>
  <si>
    <t>S-202</t>
  </si>
  <si>
    <t>S-201</t>
  </si>
  <si>
    <t>Box 1</t>
  </si>
  <si>
    <t>Box 2</t>
  </si>
  <si>
    <t>Box 3</t>
  </si>
  <si>
    <t>Box 4</t>
  </si>
  <si>
    <t>Box 5</t>
  </si>
  <si>
    <t>Box 6</t>
  </si>
  <si>
    <t>Box 7</t>
  </si>
  <si>
    <t>Box 8</t>
  </si>
  <si>
    <t>Box 9 Tamdem</t>
  </si>
  <si>
    <t>Box 10 Tamdem</t>
  </si>
  <si>
    <t>Box 11 Tamdem</t>
  </si>
  <si>
    <t>(Támdem)</t>
  </si>
  <si>
    <t>con Estac. 6052</t>
  </si>
  <si>
    <t>con Estac. 6053</t>
  </si>
  <si>
    <t>con Estac. 6054</t>
  </si>
  <si>
    <t>con Estac. 6056</t>
  </si>
  <si>
    <t>con Estac. 6057</t>
  </si>
  <si>
    <t>con Estac. 6058</t>
  </si>
  <si>
    <t>con Estac. 6059</t>
  </si>
  <si>
    <t>con Estac- 6131</t>
  </si>
  <si>
    <t>en conjunto con Bodega 612</t>
  </si>
  <si>
    <t>en conjunto con Bodega 613</t>
  </si>
  <si>
    <t>en conjunto con Bodega 614</t>
  </si>
  <si>
    <t>en conjunto con Bodega 615</t>
  </si>
  <si>
    <t>en conjunto con Bodega 616</t>
  </si>
  <si>
    <t>en conjunto con Bodega 617</t>
  </si>
  <si>
    <t>en conjunto con Bodega 618</t>
  </si>
  <si>
    <t>(Tándem) en conjunto con Bodega 623</t>
  </si>
  <si>
    <t>UKA Chile y Cia</t>
  </si>
  <si>
    <t>(Tamdem)</t>
  </si>
  <si>
    <t>COMERCIAL CIGAR CHILE LTDA.</t>
  </si>
  <si>
    <t>con Estac. 7052</t>
  </si>
  <si>
    <t>con Estac. 7053</t>
  </si>
  <si>
    <t>con Estac. 7054</t>
  </si>
  <si>
    <t>con Estac. 7056</t>
  </si>
  <si>
    <t>con Estac. 7057</t>
  </si>
  <si>
    <t>con Estac. 7058</t>
  </si>
  <si>
    <t>con Estac. 7059</t>
  </si>
  <si>
    <t>con Estac. 7131</t>
  </si>
  <si>
    <t>en conjunto con Bodega 712</t>
  </si>
  <si>
    <t>en conjunto con Bodega 713</t>
  </si>
  <si>
    <t>en conjunto con Bodega 714</t>
  </si>
  <si>
    <t>en conjunto con Bodega 715</t>
  </si>
  <si>
    <t>en conjunto con Bodega 716</t>
  </si>
  <si>
    <t>en conjunto con Bodega 717</t>
  </si>
  <si>
    <t>en conjunto con Bodega 718</t>
  </si>
  <si>
    <t>en conjunto con estac. 8052</t>
  </si>
  <si>
    <t>con Estac 8053</t>
  </si>
  <si>
    <t>con Estac. 8054</t>
  </si>
  <si>
    <t>con Estac 8056</t>
  </si>
  <si>
    <t>con Estac. 8057</t>
  </si>
  <si>
    <t>con Estac 8058</t>
  </si>
  <si>
    <t>con Estac 8059</t>
  </si>
  <si>
    <t>con Estac. 8131</t>
  </si>
  <si>
    <t>CENTRAL PARKIING SYSTEM CHILE</t>
  </si>
  <si>
    <t>en conjunto con Bodega 812</t>
  </si>
  <si>
    <t>en conjunto con Bodega 813</t>
  </si>
  <si>
    <t>en conjunto con Bodega 814</t>
  </si>
  <si>
    <t>en conjunto con Bodega 815</t>
  </si>
  <si>
    <t>en conjunto con Bodega 816</t>
  </si>
  <si>
    <t>en conjunto con Bodega 817</t>
  </si>
  <si>
    <t>en conjunto con Bodega 818</t>
  </si>
  <si>
    <t>en conjunto con Bodega 823 (Támdem)</t>
  </si>
  <si>
    <t>con Estac 9052</t>
  </si>
  <si>
    <t>con Estac. 9053</t>
  </si>
  <si>
    <t>con Estac 9054</t>
  </si>
  <si>
    <t>con Estac. 9059</t>
  </si>
  <si>
    <t>con Estac. 9057</t>
  </si>
  <si>
    <t>con Estac. 9058</t>
  </si>
  <si>
    <t>con Estac.9059</t>
  </si>
  <si>
    <t>en conjunto con Bodega 912- Isidora 3000/CP</t>
  </si>
  <si>
    <t>en conjunto con Bodega 913- Isidora 3000/CP</t>
  </si>
  <si>
    <t>en conjunto con Bodega 914- Isidora 3000/CP</t>
  </si>
  <si>
    <t>en conjunto con Bodega 915- Isidora 3000/CP</t>
  </si>
  <si>
    <t>en conjunto con Bodega 916- Isidora 3000/CP</t>
  </si>
  <si>
    <t>en conjunto con Bodega 917- Isidora 3000/CP</t>
  </si>
  <si>
    <t>en conjunto con Bodega 918- Isidora 3000/CP</t>
  </si>
  <si>
    <t>m²/un.</t>
  </si>
  <si>
    <t>esta vacante?</t>
  </si>
  <si>
    <t>Clave fila (auxiliar)</t>
  </si>
  <si>
    <t>Rent (UF/mes)</t>
  </si>
  <si>
    <t>UF/m²/mes</t>
  </si>
  <si>
    <t>Clave única</t>
  </si>
  <si>
    <t>NUEVA ZELANDIA</t>
  </si>
  <si>
    <t>UKA CHILE</t>
  </si>
  <si>
    <t xml:space="preserve">LANDMARK </t>
  </si>
  <si>
    <t>GLOBALFLEX</t>
  </si>
  <si>
    <t>KAUFMANN</t>
  </si>
  <si>
    <t xml:space="preserve">PRICE FORBES </t>
  </si>
  <si>
    <t>HITHIUM</t>
  </si>
  <si>
    <t xml:space="preserve">RED ELECTRICA </t>
  </si>
  <si>
    <t>DEVON</t>
  </si>
  <si>
    <t xml:space="preserve">BOEHRINGER </t>
  </si>
  <si>
    <t>CONTOURGLOBAL</t>
  </si>
  <si>
    <t>AHK</t>
  </si>
  <si>
    <t>AMLV GRUPO</t>
  </si>
  <si>
    <t>SUMITOMO</t>
  </si>
  <si>
    <t>JOHNSON HEALTH TECH</t>
  </si>
  <si>
    <t>SPENCER STUART</t>
  </si>
  <si>
    <t>REGUS</t>
  </si>
  <si>
    <t>STELLANTIS</t>
  </si>
  <si>
    <t xml:space="preserve">BLACK ROCK </t>
  </si>
  <si>
    <t>TECNIMONT</t>
  </si>
  <si>
    <t>EAGLE CLUB</t>
  </si>
  <si>
    <t>TURKISH AIRLINES</t>
  </si>
  <si>
    <t>DEUTSCHE PHARMA</t>
  </si>
  <si>
    <t xml:space="preserve">PROGARANTIA </t>
  </si>
  <si>
    <t>MARGO</t>
  </si>
  <si>
    <t xml:space="preserve">MERCADO ISIDORA </t>
  </si>
  <si>
    <t>CASA DEL HABANO</t>
  </si>
  <si>
    <t>BANCO SANTANDER</t>
  </si>
  <si>
    <t>BROOKS BROTHERS</t>
  </si>
  <si>
    <t>TENGU</t>
  </si>
  <si>
    <t>TATTERSAL</t>
  </si>
  <si>
    <t>BIORITMO</t>
  </si>
  <si>
    <t>THE BOSS</t>
  </si>
  <si>
    <t>URBANA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</si>
</sst>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7" formatCode="[$]\ #,##0.00;\([$]#,##0.00\);_*&quot;-&quot;"/>
    <numFmt numFmtId="174" formatCode="[$]\ #,###;\([$]#,##0\);_*&quot;-&quot;;"/>
    <numFmt numFmtId="204" formatCode="[$$-340A]\ #,##0"/>
  </numFmts>
  <fonts count="10" x14ac:knownFonts="1">
    <font>
      <sz val="11"/>
      <color theme="1"/>
      <name val="Roboto"/>
      <family val="2"/>
      <scheme val="minor"/>
    </font>
    <font>
      <sz val="11"/>
      <color theme="1"/>
      <name val="Roboto"/>
      <family val="2"/>
      <scheme val="minor"/>
    </font>
    <font>
      <sz val="10"/>
      <color theme="0"/>
      <name val="Roboto"/>
      <scheme val="minor"/>
    </font>
    <font>
      <sz val="10"/>
      <color theme="1"/>
      <name val="Roboto"/>
      <scheme val="minor"/>
    </font>
    <font>
      <sz val="10"/>
      <color rgb="FF0070C0"/>
      <name val="Roboto"/>
      <scheme val="minor"/>
    </font>
    <font>
      <sz val="12"/>
      <color theme="1"/>
      <name val="Roboto"/>
      <family val="2"/>
      <scheme val="minor"/>
    </font>
    <font>
      <sz val="10"/>
      <name val="Arial"/>
      <family val="2"/>
    </font>
    <font>
      <b/>
      <sz val="10"/>
      <color rgb="FFFFFFFF"/>
      <name val="Roboto"/>
      <scheme val="minor"/>
    </font>
    <font>
      <sz val="10"/>
      <color rgb="FF2D3334"/>
      <name val="Roboto"/>
      <scheme val="minor"/>
    </font>
    <font>
      <sz val="10"/>
      <color rgb="FF999999"/>
      <name val="Roboto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444D5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5" tint="0.39997558519241921"/>
      </bottom>
      <diagonal/>
    </border>
  </borders>
  <cellStyleXfs count="12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0"/>
    <xf numFmtId="0" fontId="6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1" fillId="0" borderId="0" applyFont="0" applyFill="0" applyBorder="0" applyAlignment="0" applyProtection="0"/>
    <xf numFmtId="0" fontId="6" fillId="0" borderId="0"/>
    <xf numFmtId="204" fontId="1" fillId="0" borderId="0"/>
  </cellStyleXfs>
  <cellXfs count="24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  <xf numFmtId="0" fontId="8" fillId="0" borderId="0" xfId="0" applyFont="1"/>
    <xf numFmtId="0" fontId="7" fillId="3" borderId="0" xfId="0" applyFont="1" applyFill="1" applyAlignment="1">
      <alignment horizontal="right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/>
    </xf>
    <xf numFmtId="0" fontId="7" fillId="3" borderId="0" xfId="0" applyFont="1" applyFill="1" applyAlignment="1">
      <alignment horizontal="center"/>
    </xf>
    <xf numFmtId="4" fontId="8" fillId="0" borderId="0" xfId="0" applyNumberFormat="1" applyFont="1" applyAlignment="1">
      <alignment horizontal="right"/>
    </xf>
    <xf numFmtId="15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0" fontId="9" fillId="0" borderId="0" xfId="0" applyFont="1"/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7" fillId="2" borderId="0" xfId="0" applyFont="1" applyFill="1" applyAlignment="1">
      <alignment horizontal="left"/>
    </xf>
  </cellXfs>
  <cellStyles count="12">
    <cellStyle name="Comma 2" xfId="1" xr:uid="{2210CC11-668B-4909-97E9-D1455AC054AC}"/>
    <cellStyle name="Millares 2" xfId="6" xr:uid="{605DBB5A-B517-406F-8EE5-F1C67F8C1E6C}"/>
    <cellStyle name="Millares 3" xfId="9" xr:uid="{A3327F50-1D01-40A1-A6A3-F6F34D5D0C6C}"/>
    <cellStyle name="Normal" xfId="0" builtinId="0"/>
    <cellStyle name="Normal 10" xfId="2" xr:uid="{7A741E22-B8B4-4584-97C9-86353EFBCD10}"/>
    <cellStyle name="Normal 11 2" xfId="10" xr:uid="{6CA41E58-22CB-481A-BE91-C2E3F6831D24}"/>
    <cellStyle name="Normal 2" xfId="4" xr:uid="{3DF59F0D-9B01-4D3B-AD1D-876C5628E4C7}"/>
    <cellStyle name="Normal 2 2 3" xfId="5" xr:uid="{F5D37BC8-7384-4E6D-B81B-3ADA925B72F3}"/>
    <cellStyle name="Normal 2 3" xfId="8" xr:uid="{5CB2AB37-6E40-4E4B-BBB6-ACA5EAD72D0E}"/>
    <cellStyle name="Normal 3" xfId="11" xr:uid="{DCBEB47F-4CAF-40A7-8C42-1D1327E390D1}"/>
    <cellStyle name="Normal 9" xfId="3" xr:uid="{F410CAD9-016B-4F8C-8874-4C84C7226408}"/>
    <cellStyle name="Porcentaje 2" xfId="7" xr:uid="{EE8927CF-C7F7-4084-8A7A-4DAA22095FE1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9F9F9"/>
      <color rgb="FFFFFFC9"/>
      <color rgb="FFD5FFEA"/>
      <color rgb="FFFFECD9"/>
      <color rgb="FFE5F2FF"/>
      <color rgb="FFD5EAFF"/>
      <color rgb="FFC5E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8</v>
    <v>88</v>
    <v>1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Tema1">
  <a:themeElements>
    <a:clrScheme name="Personalizado 2">
      <a:dk1>
        <a:srgbClr val="2D3334"/>
      </a:dk1>
      <a:lt1>
        <a:srgbClr val="FFFFFF"/>
      </a:lt1>
      <a:dk2>
        <a:srgbClr val="96323C"/>
      </a:dk2>
      <a:lt2>
        <a:srgbClr val="2D3334"/>
      </a:lt2>
      <a:accent1>
        <a:srgbClr val="96323C"/>
      </a:accent1>
      <a:accent2>
        <a:srgbClr val="5B6670"/>
      </a:accent2>
      <a:accent3>
        <a:srgbClr val="2D3334"/>
      </a:accent3>
      <a:accent4>
        <a:srgbClr val="A26579"/>
      </a:accent4>
      <a:accent5>
        <a:srgbClr val="D7A1A7"/>
      </a:accent5>
      <a:accent6>
        <a:srgbClr val="51313C"/>
      </a:accent6>
      <a:hlink>
        <a:srgbClr val="FFFFFF"/>
      </a:hlink>
      <a:folHlink>
        <a:srgbClr val="D7A1A7"/>
      </a:folHlink>
    </a:clrScheme>
    <a:fontScheme name="textos Novel Capital New">
      <a:majorFont>
        <a:latin typeface="Roboto"/>
        <a:ea typeface="Helvetica Neue Medium"/>
        <a:cs typeface="Helvetica Neue Medium"/>
      </a:majorFont>
      <a:minorFont>
        <a:latin typeface="Roboto"/>
        <a:ea typeface="Helvetica Neue Medium"/>
        <a:cs typeface="Helvetica Neue Medi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ema SITU 2" id="{DB4CBE84-FDC0-45DE-BC0E-28B9C5DA3AA6}" vid="{D80E890D-8068-4978-8B54-F25FB34D6DB8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CD5723B-AACE-4BFD-9149-A838FDBC999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6c3a94b-01fa-4ee1-96e2-11156b0dd65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F738F-62C4-4393-8E92-8D5D476ED6E0}">
  <sheetPr>
    <tabColor theme="5" tint="-0.249977111117893"/>
  </sheetPr>
  <dimension ref="A1:AF995"/>
  <sheetViews>
    <sheetView showGridLines="0" tabSelected="1" workbookViewId="0">
      <selection activeCell="C7" sqref="C7"/>
    </sheetView>
  </sheetViews>
  <sheetFormatPr baseColWidth="10" defaultRowHeight="12.75" x14ac:dyDescent="0.25"/>
  <cols>
    <col min="1" max="1" width="5.75" style="5" customWidth="1"/>
    <col min="2" max="2" width="21.625" style="6" customWidth="1"/>
    <col min="3" max="3" width="27.125" style="6" bestFit="1" customWidth="1"/>
    <col min="4" max="4" width="13.625" style="6" bestFit="1" customWidth="1"/>
    <col min="5" max="5" width="10.375" style="5" customWidth="1"/>
    <col min="6" max="6" width="10.125" style="6" customWidth="1"/>
    <col min="7" max="7" width="13" style="9" bestFit="1" customWidth="1"/>
    <col min="8" max="8" width="14.5" style="9" customWidth="1"/>
    <col min="9" max="9" width="5.25" style="6" customWidth="1"/>
    <col min="10" max="11" width="7.875" style="5" customWidth="1"/>
    <col min="12" max="12" width="7.875" style="18" customWidth="1"/>
    <col min="13" max="13" width="11.25" style="19" bestFit="1" customWidth="1"/>
    <col min="14" max="14" width="15.25" style="18" bestFit="1" customWidth="1"/>
    <col min="15" max="15" width="15.5" style="1" customWidth="1"/>
    <col min="16" max="16" width="27.125" style="1" bestFit="1" customWidth="1"/>
    <col min="17" max="18" width="15.5" style="1" customWidth="1"/>
    <col min="19" max="19" width="36.75" style="1" customWidth="1"/>
    <col min="20" max="20" width="9.5" style="2" customWidth="1"/>
    <col min="21" max="21" width="44.25" style="3" bestFit="1" customWidth="1"/>
    <col min="22" max="22" width="11.375" style="1" customWidth="1"/>
    <col min="23" max="23" width="7.125" style="1" bestFit="1" customWidth="1"/>
    <col min="24" max="24" width="13" style="1" bestFit="1" customWidth="1"/>
    <col min="25" max="25" width="11.75" style="1" customWidth="1"/>
    <col min="26" max="26" width="11.125" style="1" bestFit="1" customWidth="1"/>
    <col min="27" max="27" width="11.5" style="1" bestFit="1" customWidth="1"/>
    <col min="28" max="29" width="9.125" style="1" customWidth="1"/>
    <col min="30" max="31" width="55.375" style="1" bestFit="1" customWidth="1"/>
    <col min="32" max="34" width="11" style="1"/>
    <col min="35" max="35" width="11" style="1" customWidth="1"/>
    <col min="36" max="36" width="9.5" style="1" customWidth="1"/>
    <col min="37" max="16384" width="11" style="1"/>
  </cols>
  <sheetData>
    <row r="1" spans="1:32" ht="14.25" customHeight="1" x14ac:dyDescent="0.2">
      <c r="A1" s="8" t="s">
        <v>14</v>
      </c>
      <c r="B1" s="7" t="s">
        <v>1</v>
      </c>
      <c r="C1" s="7" t="s">
        <v>11</v>
      </c>
      <c r="D1" s="7" t="s">
        <v>0</v>
      </c>
      <c r="E1" s="8" t="s">
        <v>18</v>
      </c>
      <c r="F1" s="7" t="s">
        <v>21</v>
      </c>
      <c r="G1" s="8" t="s">
        <v>20</v>
      </c>
      <c r="H1" s="8" t="s">
        <v>15</v>
      </c>
      <c r="I1" s="7" t="s">
        <v>2</v>
      </c>
      <c r="J1" s="8" t="s">
        <v>12</v>
      </c>
      <c r="K1" s="8" t="s">
        <v>13</v>
      </c>
      <c r="L1" s="8" t="s">
        <v>3</v>
      </c>
      <c r="M1" s="8" t="s">
        <v>16</v>
      </c>
      <c r="N1" s="8" t="s">
        <v>17</v>
      </c>
      <c r="T1" s="12" t="s">
        <v>0</v>
      </c>
      <c r="U1" s="12" t="s">
        <v>1</v>
      </c>
      <c r="V1" s="13" t="s">
        <v>19</v>
      </c>
      <c r="W1" s="11" t="s">
        <v>170</v>
      </c>
      <c r="X1" s="14" t="s">
        <v>20</v>
      </c>
      <c r="Y1" s="14" t="s">
        <v>15</v>
      </c>
      <c r="Z1" s="11" t="s">
        <v>173</v>
      </c>
      <c r="AA1" s="11" t="s">
        <v>174</v>
      </c>
      <c r="AD1" s="23" t="s">
        <v>172</v>
      </c>
      <c r="AE1" s="23" t="s">
        <v>175</v>
      </c>
      <c r="AF1" s="4"/>
    </row>
    <row r="2" spans="1:32" x14ac:dyDescent="0.2">
      <c r="A2" s="5">
        <v>28</v>
      </c>
      <c r="B2" s="6" t="s">
        <v>4</v>
      </c>
      <c r="C2" s="6" t="s">
        <v>4</v>
      </c>
      <c r="D2" s="6" t="s">
        <v>6</v>
      </c>
      <c r="E2" s="5">
        <v>2801</v>
      </c>
      <c r="H2" s="9" t="s">
        <v>9</v>
      </c>
      <c r="I2" s="6" t="s">
        <v>5</v>
      </c>
      <c r="J2" s="18"/>
      <c r="K2" s="18"/>
      <c r="L2" s="18">
        <v>490.26</v>
      </c>
      <c r="M2" s="19">
        <v>0</v>
      </c>
      <c r="N2" s="18">
        <v>0</v>
      </c>
      <c r="T2" s="10" t="str" cm="1">
        <f t="array" ref="T2:T90">IF(_xlfn.ANCHORARRAY(AE2)="","",CHOOSE(VALUE(LEFT(_xlfn.ANCHORARRAY(AE2),FIND("|",_xlfn.ANCHORARRAY(AE2))-1)),"Oficinas","Locales","Estacionamientos","Bodegas"))</f>
        <v>Oficinas</v>
      </c>
      <c r="U2" s="10" t="str" cm="1">
        <f t="array" ref="U2:U90">IF(_xlfn.ANCHORARRAY(AE2)="","",_xlfn.LET(_xlpm.s,MID(_xlfn.ANCHORARRAY(AE2),FIND("|",_xlfn.ANCHORARRAY(AE2))+1,200),LEFT(_xlpm.s,FIND("|",_xlpm.s)-1)))</f>
        <v>AHK</v>
      </c>
      <c r="V2" s="10" t="e" cm="1">
        <f t="array" ref="V2">IF(INDEX(_xlfn.ANCHORARRAY($AE$2),ROW()-6)="","",_xlfn.TEXTJOIN(", ",TRUE,IF($AD$2:$AD$757=INDEX(_xlfn.ANCHORARRAY($AE$2),ROW()-6),$E$2:$E$757,"")))</f>
        <v>#VALUE!</v>
      </c>
      <c r="W2" s="15" t="e" cm="1">
        <f t="array" ref="W2">IF(INDEX(_xlfn.ANCHORARRAY($AE$2),ROW()-6)="","",SUMIFS($L$2:$L$757,$AD$2:$AD$757,INDEX(_xlfn.ANCHORARRAY($AE$2),ROW()-6)))</f>
        <v>#VALUE!</v>
      </c>
      <c r="X2" s="16" t="e" cm="1">
        <f t="array" ref="X2">IF(INDEX(_xlfn.ANCHORARRAY($AE$2),ROW()-6)="","",IFERROR(_xlfn.XLOOKUP(INDEX(_xlfn.ANCHORARRAY($AE$2),ROW()-6),$AD$2:$AD$757,$G$2:$G$757),""))</f>
        <v>#VALUE!</v>
      </c>
      <c r="Y2" s="16" t="e" cm="1">
        <f t="array" ref="Y2">IF(INDEX(_xlfn.ANCHORARRAY($AE$2),ROW()-6)="","",IFERROR(_xlfn.XLOOKUP(INDEX(_xlfn.ANCHORARRAY($AE$2),ROW()-6),$AD$2:$AD$757,$H$2:$H$757),""))</f>
        <v>#VALUE!</v>
      </c>
      <c r="Z2" s="15" t="e" cm="1">
        <f t="array" ref="Z2">IF(INDEX(_xlfn.ANCHORARRAY($AE$2),ROW()-6)="","",SUMIFS($N$2:$N$757,$AD$2:$AD$757,INDEX(_xlfn.ANCHORARRAY($AE$2),ROW()-6)))</f>
        <v>#VALUE!</v>
      </c>
      <c r="AA2" s="17" t="e" cm="1">
        <f t="array" ref="AA2">IF(OR(INDEX(_xlfn.ANCHORARRAY($AE$2),ROW()-6)="",W2=0,LEFT(INDEX(_xlfn.ANCHORARRAY($AE$2),ROW()-6),1)="3",LEFT(INDEX(_xlfn.ANCHORARRAY($AE$2),ROW()-6),1)="4"),IF(INDEX(_xlfn.ANCHORARRAY($AE$2),ROW()-6)="","","-"),Z2/W2)</f>
        <v>#VALUE!</v>
      </c>
      <c r="AD2" s="20" t="str">
        <f>IF((B2="")+(B2="Vacante")+(D2=""),"",IFERROR(MATCH(D2,{"Oficinas";"Locales";"Estacionamientos";"Bodegas"},0),5)&amp;"|"&amp;B2&amp;"|"&amp;TEXT(G2,"yyyymmdd")&amp;"|"&amp;TEXT(H2,"yyyymmdd"))</f>
        <v/>
      </c>
      <c r="AE2" s="20" t="str" cm="1">
        <f t="array" ref="AE2:AE90">_xlfn._xlws.SORT(_xlfn.UNIQUE(_xlfn._xlws.FILTER(AD2:AD9995,AD2:AD9995&lt;&gt;"")))</f>
        <v>1|AHK|19000100|20300228</v>
      </c>
      <c r="AF2" s="4"/>
    </row>
    <row r="3" spans="1:32" x14ac:dyDescent="0.2">
      <c r="A3" s="5">
        <v>28</v>
      </c>
      <c r="B3" s="6" t="s">
        <v>4</v>
      </c>
      <c r="C3" s="6" t="s">
        <v>4</v>
      </c>
      <c r="D3" s="6" t="s">
        <v>6</v>
      </c>
      <c r="E3" s="5">
        <v>2802</v>
      </c>
      <c r="H3" s="9" t="s">
        <v>9</v>
      </c>
      <c r="I3" s="6" t="s">
        <v>5</v>
      </c>
      <c r="J3" s="18"/>
      <c r="K3" s="18"/>
      <c r="L3" s="18">
        <v>462.73999999999995</v>
      </c>
      <c r="M3" s="19">
        <v>0</v>
      </c>
      <c r="N3" s="18">
        <v>0</v>
      </c>
      <c r="T3" s="4" t="str">
        <v>Oficinas</v>
      </c>
      <c r="U3" s="4" t="str">
        <v>AMLV GRUPO</v>
      </c>
      <c r="V3" s="10" t="e" cm="1">
        <f t="array" ref="V3">IF(INDEX(_xlfn.ANCHORARRAY($AE$2),ROW()-6)="","",_xlfn.TEXTJOIN(", ",TRUE,IF($AD$2:$AD$757=INDEX(_xlfn.ANCHORARRAY($AE$2),ROW()-6),$E$2:$E$757,"")))</f>
        <v>#VALUE!</v>
      </c>
      <c r="W3" s="15" t="e" cm="1">
        <f t="array" ref="W3">IF(INDEX(_xlfn.ANCHORARRAY($AE$2),ROW()-6)="","",SUMIFS($L$2:$L$757,$AD$2:$AD$757,INDEX(_xlfn.ANCHORARRAY($AE$2),ROW()-6)))</f>
        <v>#VALUE!</v>
      </c>
      <c r="X3" s="16" t="e" cm="1">
        <f t="array" ref="X3">IF(INDEX(_xlfn.ANCHORARRAY($AE$2),ROW()-6)="","",IFERROR(_xlfn.XLOOKUP(INDEX(_xlfn.ANCHORARRAY($AE$2),ROW()-6),$AD$2:$AD$757,$G$2:$G$757),""))</f>
        <v>#VALUE!</v>
      </c>
      <c r="Y3" s="16" t="e" cm="1">
        <f t="array" ref="Y3">IF(INDEX(_xlfn.ANCHORARRAY($AE$2),ROW()-6)="","",IFERROR(_xlfn.XLOOKUP(INDEX(_xlfn.ANCHORARRAY($AE$2),ROW()-6),$AD$2:$AD$757,$H$2:$H$757),""))</f>
        <v>#VALUE!</v>
      </c>
      <c r="Z3" s="15" t="e" cm="1">
        <f t="array" ref="Z3">IF(INDEX(_xlfn.ANCHORARRAY($AE$2),ROW()-6)="","",SUMIFS($N$2:$N$757,$AD$2:$AD$757,INDEX(_xlfn.ANCHORARRAY($AE$2),ROW()-6)))</f>
        <v>#VALUE!</v>
      </c>
      <c r="AA3" s="17" t="e" cm="1">
        <f t="array" ref="AA3">IF(OR(INDEX(_xlfn.ANCHORARRAY($AE$2),ROW()-6)="",W3=0,LEFT(INDEX(_xlfn.ANCHORARRAY($AE$2),ROW()-6),1)="3",LEFT(INDEX(_xlfn.ANCHORARRAY($AE$2),ROW()-6),1)="4"),IF(INDEX(_xlfn.ANCHORARRAY($AE$2),ROW()-6)="","","-"),Z3/W3)</f>
        <v>#VALUE!</v>
      </c>
      <c r="AD3" s="20" t="str">
        <f>IF((B3="")+(B3="Vacante")+(D3=""),"",IFERROR(MATCH(D3,{"Oficinas";"Locales";"Estacionamientos";"Bodegas"},0),5)&amp;"|"&amp;B3&amp;"|"&amp;TEXT(G3,"yyyymmdd")&amp;"|"&amp;TEXT(H3,"yyyymmdd"))</f>
        <v/>
      </c>
      <c r="AE3" s="4" t="str">
        <v>1|AMLV GRUPO|20260331|20280331</v>
      </c>
      <c r="AF3" s="4"/>
    </row>
    <row r="4" spans="1:32" x14ac:dyDescent="0.2">
      <c r="A4" s="5">
        <v>27</v>
      </c>
      <c r="B4" s="6" t="s">
        <v>194</v>
      </c>
      <c r="C4" s="6" t="s">
        <v>22</v>
      </c>
      <c r="D4" s="6" t="s">
        <v>6</v>
      </c>
      <c r="E4" s="5">
        <v>2701</v>
      </c>
      <c r="G4" s="9">
        <v>46023</v>
      </c>
      <c r="H4" s="9">
        <v>46568</v>
      </c>
      <c r="I4" s="6" t="s">
        <v>5</v>
      </c>
      <c r="J4" s="21"/>
      <c r="K4" s="21"/>
      <c r="L4" s="18">
        <v>318.62</v>
      </c>
      <c r="M4" s="19">
        <v>0.66</v>
      </c>
      <c r="N4" s="18">
        <v>210.28920000000002</v>
      </c>
      <c r="O4" s="5"/>
      <c r="R4" s="5"/>
      <c r="S4" s="5"/>
      <c r="T4" s="4" t="str">
        <v>Oficinas</v>
      </c>
      <c r="U4" s="4" t="str">
        <v xml:space="preserve">BLACK ROCK </v>
      </c>
      <c r="V4" s="10" t="e" cm="1">
        <f t="array" ref="V4">IF(INDEX(_xlfn.ANCHORARRAY($AE$2),ROW()-6)="","",_xlfn.TEXTJOIN(", ",TRUE,IF($AD$2:$AD$757=INDEX(_xlfn.ANCHORARRAY($AE$2),ROW()-6),$E$2:$E$757,"")))</f>
        <v>#VALUE!</v>
      </c>
      <c r="W4" s="15" t="e" cm="1">
        <f t="array" ref="W4">IF(INDEX(_xlfn.ANCHORARRAY($AE$2),ROW()-6)="","",SUMIFS($L$2:$L$757,$AD$2:$AD$757,INDEX(_xlfn.ANCHORARRAY($AE$2),ROW()-6)))</f>
        <v>#VALUE!</v>
      </c>
      <c r="X4" s="16" t="e" cm="1">
        <f t="array" ref="X4">IF(INDEX(_xlfn.ANCHORARRAY($AE$2),ROW()-6)="","",IFERROR(_xlfn.XLOOKUP(INDEX(_xlfn.ANCHORARRAY($AE$2),ROW()-6),$AD$2:$AD$757,$G$2:$G$757),""))</f>
        <v>#VALUE!</v>
      </c>
      <c r="Y4" s="16" t="e" cm="1">
        <f t="array" ref="Y4">IF(INDEX(_xlfn.ANCHORARRAY($AE$2),ROW()-6)="","",IFERROR(_xlfn.XLOOKUP(INDEX(_xlfn.ANCHORARRAY($AE$2),ROW()-6),$AD$2:$AD$757,$H$2:$H$757),""))</f>
        <v>#VALUE!</v>
      </c>
      <c r="Z4" s="15" t="e" cm="1">
        <f t="array" ref="Z4">IF(INDEX(_xlfn.ANCHORARRAY($AE$2),ROW()-6)="","",SUMIFS($N$2:$N$757,$AD$2:$AD$757,INDEX(_xlfn.ANCHORARRAY($AE$2),ROW()-6)))</f>
        <v>#VALUE!</v>
      </c>
      <c r="AA4" s="17" t="e" cm="1">
        <f t="array" ref="AA4">IF(OR(INDEX(_xlfn.ANCHORARRAY($AE$2),ROW()-6)="",W4=0,LEFT(INDEX(_xlfn.ANCHORARRAY($AE$2),ROW()-6),1)="3",LEFT(INDEX(_xlfn.ANCHORARRAY($AE$2),ROW()-6),1)="4"),IF(INDEX(_xlfn.ANCHORARRAY($AE$2),ROW()-6)="","","-"),Z4/W4)</f>
        <v>#VALUE!</v>
      </c>
      <c r="AD4" s="20" t="str">
        <f>IF((B4="")+(B4="Vacante")+(D4=""),"",IFERROR(MATCH(D4,{"Oficinas";"Locales";"Estacionamientos";"Bodegas"},0),5)&amp;"|"&amp;B4&amp;"|"&amp;TEXT(G4,"yyyymmdd")&amp;"|"&amp;TEXT(H4,"yyyymmdd"))</f>
        <v>1|BLACK ROCK |20260101|20270630</v>
      </c>
      <c r="AE4" s="4" t="str">
        <v>1|BLACK ROCK |20260101|20270630</v>
      </c>
      <c r="AF4" s="4"/>
    </row>
    <row r="5" spans="1:32" x14ac:dyDescent="0.2">
      <c r="A5" s="5">
        <v>27</v>
      </c>
      <c r="B5" s="6" t="s">
        <v>195</v>
      </c>
      <c r="C5" s="6" t="s">
        <v>23</v>
      </c>
      <c r="D5" s="6" t="s">
        <v>6</v>
      </c>
      <c r="E5" s="5">
        <v>2702</v>
      </c>
      <c r="G5" s="9">
        <v>46522</v>
      </c>
      <c r="H5" s="9">
        <v>47497</v>
      </c>
      <c r="I5" s="6" t="s">
        <v>5</v>
      </c>
      <c r="J5" s="21"/>
      <c r="K5" s="21"/>
      <c r="L5" s="18">
        <v>297.75</v>
      </c>
      <c r="M5" s="19">
        <v>0.6</v>
      </c>
      <c r="N5" s="18">
        <v>178.65</v>
      </c>
      <c r="T5" s="4" t="str">
        <v>Oficinas</v>
      </c>
      <c r="U5" s="4" t="str">
        <v xml:space="preserve">BOEHRINGER </v>
      </c>
      <c r="V5" s="10" t="e" cm="1">
        <f t="array" ref="V5">IF(INDEX(_xlfn.ANCHORARRAY($AE$2),ROW()-6)="","",_xlfn.TEXTJOIN(", ",TRUE,IF($AD$2:$AD$757=INDEX(_xlfn.ANCHORARRAY($AE$2),ROW()-6),$E$2:$E$757,"")))</f>
        <v>#VALUE!</v>
      </c>
      <c r="W5" s="15" t="e" cm="1">
        <f t="array" ref="W5">IF(INDEX(_xlfn.ANCHORARRAY($AE$2),ROW()-6)="","",SUMIFS($L$2:$L$757,$AD$2:$AD$757,INDEX(_xlfn.ANCHORARRAY($AE$2),ROW()-6)))</f>
        <v>#VALUE!</v>
      </c>
      <c r="X5" s="16" t="e" cm="1">
        <f t="array" ref="X5">IF(INDEX(_xlfn.ANCHORARRAY($AE$2),ROW()-6)="","",IFERROR(_xlfn.XLOOKUP(INDEX(_xlfn.ANCHORARRAY($AE$2),ROW()-6),$AD$2:$AD$757,$G$2:$G$757),""))</f>
        <v>#VALUE!</v>
      </c>
      <c r="Y5" s="16" t="e" cm="1">
        <f t="array" ref="Y5">IF(INDEX(_xlfn.ANCHORARRAY($AE$2),ROW()-6)="","",IFERROR(_xlfn.XLOOKUP(INDEX(_xlfn.ANCHORARRAY($AE$2),ROW()-6),$AD$2:$AD$757,$H$2:$H$757),""))</f>
        <v>#VALUE!</v>
      </c>
      <c r="Z5" s="15" t="e" cm="1">
        <f t="array" ref="Z5">IF(INDEX(_xlfn.ANCHORARRAY($AE$2),ROW()-6)="","",SUMIFS($N$2:$N$757,$AD$2:$AD$757,INDEX(_xlfn.ANCHORARRAY($AE$2),ROW()-6)))</f>
        <v>#VALUE!</v>
      </c>
      <c r="AA5" s="17" t="e" cm="1">
        <f t="array" ref="AA5">IF(OR(INDEX(_xlfn.ANCHORARRAY($AE$2),ROW()-6)="",W5=0,LEFT(INDEX(_xlfn.ANCHORARRAY($AE$2),ROW()-6),1)="3",LEFT(INDEX(_xlfn.ANCHORARRAY($AE$2),ROW()-6),1)="4"),IF(INDEX(_xlfn.ANCHORARRAY($AE$2),ROW()-6)="","","-"),Z5/W5)</f>
        <v>#VALUE!</v>
      </c>
      <c r="AD5" s="20" t="str">
        <f>IF((B5="")+(B5="Vacante")+(D5=""),"",IFERROR(MATCH(D5,{"Oficinas";"Locales";"Estacionamientos";"Bodegas"},0),5)&amp;"|"&amp;B5&amp;"|"&amp;TEXT(G5,"yyyymmdd")&amp;"|"&amp;TEXT(H5,"yyyymmdd"))</f>
        <v>1|TECNIMONT|20270515|20300114</v>
      </c>
      <c r="AE5" s="4" t="str">
        <v>1|BOEHRINGER |19000100|20290430</v>
      </c>
      <c r="AF5" s="4"/>
    </row>
    <row r="6" spans="1:32" x14ac:dyDescent="0.2">
      <c r="A6" s="5">
        <v>26</v>
      </c>
      <c r="B6" s="6" t="s">
        <v>193</v>
      </c>
      <c r="C6" s="6" t="s">
        <v>24</v>
      </c>
      <c r="D6" s="6" t="s">
        <v>6</v>
      </c>
      <c r="E6" s="5">
        <v>2601</v>
      </c>
      <c r="H6" s="9">
        <v>47528</v>
      </c>
      <c r="I6" s="6" t="s">
        <v>5</v>
      </c>
      <c r="J6" s="18"/>
      <c r="K6" s="18"/>
      <c r="L6" s="18">
        <v>319.14</v>
      </c>
      <c r="M6" s="19">
        <v>0.60255000000000003</v>
      </c>
      <c r="N6" s="18">
        <v>192.29780700000001</v>
      </c>
      <c r="T6" s="4" t="str">
        <v>Oficinas</v>
      </c>
      <c r="U6" s="4" t="str">
        <v>COMMON SPACE</v>
      </c>
      <c r="V6" s="10" t="e" cm="1" vm="1">
        <f t="array" aca="1" ref="V6" ca="1">IF(INDEX(_xlfn.ANCHORARRAY($AE$2),ROW()-6)="","",_xlfn.TEXTJOIN(", ",TRUE,IF($AD$2:$AD$757=INDEX(_xlfn.ANCHORARRAY($AE$2),ROW()-6),$E$2:$E$757,"")))</f>
        <v>#VALUE!</v>
      </c>
      <c r="W6" s="15" t="e" cm="1" vm="1">
        <f t="array" aca="1" ref="W6" ca="1">IF(INDEX(_xlfn.ANCHORARRAY($AE$2),ROW()-6)="","",SUMIFS($L$2:$L$757,$AD$2:$AD$757,INDEX(_xlfn.ANCHORARRAY($AE$2),ROW()-6)))</f>
        <v>#VALUE!</v>
      </c>
      <c r="X6" s="16" t="e" cm="1" vm="1">
        <f t="array" aca="1" ref="X6" ca="1">IF(INDEX(_xlfn.ANCHORARRAY($AE$2),ROW()-6)="","",IFERROR(_xlfn.XLOOKUP(INDEX(_xlfn.ANCHORARRAY($AE$2),ROW()-6),$AD$2:$AD$757,$G$2:$G$757),""))</f>
        <v>#VALUE!</v>
      </c>
      <c r="Y6" s="16" t="e" cm="1" vm="1">
        <f t="array" aca="1" ref="Y6" ca="1">IF(INDEX(_xlfn.ANCHORARRAY($AE$2),ROW()-6)="","",IFERROR(_xlfn.XLOOKUP(INDEX(_xlfn.ANCHORARRAY($AE$2),ROW()-6),$AD$2:$AD$757,$H$2:$H$757),""))</f>
        <v>#VALUE!</v>
      </c>
      <c r="Z6" s="15" t="e" cm="1" vm="1">
        <f t="array" aca="1" ref="Z6" ca="1">IF(INDEX(_xlfn.ANCHORARRAY($AE$2),ROW()-6)="","",SUMIFS($N$2:$N$757,$AD$2:$AD$757,INDEX(_xlfn.ANCHORARRAY($AE$2),ROW()-6)))</f>
        <v>#VALUE!</v>
      </c>
      <c r="AA6" s="17" t="e" cm="1" vm="2">
        <f t="array" aca="1" ref="AA6" ca="1">IF(OR(INDEX(_xlfn.ANCHORARRAY($AE$2),ROW()-6)="",W6=0,LEFT(INDEX(_xlfn.ANCHORARRAY($AE$2),ROW()-6),1)="3",LEFT(INDEX(_xlfn.ANCHORARRAY($AE$2),ROW()-6),1)="4"),IF(INDEX(_xlfn.ANCHORARRAY($AE$2),ROW()-6)="","","-"),Z6/W6)</f>
        <v>#VALUE!</v>
      </c>
      <c r="AD6" s="20" t="str">
        <f>IF((B6="")+(B6="Vacante")+(D6=""),"",IFERROR(MATCH(D6,{"Oficinas";"Locales";"Estacionamientos";"Bodegas"},0),5)&amp;"|"&amp;B6&amp;"|"&amp;TEXT(G6,"yyyymmdd")&amp;"|"&amp;TEXT(H6,"yyyymmdd"))</f>
        <v>1|STELLANTIS|19000100|20300214</v>
      </c>
      <c r="AE6" s="4" t="str">
        <v>1|COMMON SPACE|-|-</v>
      </c>
      <c r="AF6" s="4"/>
    </row>
    <row r="7" spans="1:32" x14ac:dyDescent="0.2">
      <c r="A7" s="5">
        <v>26</v>
      </c>
      <c r="B7" s="6" t="s">
        <v>193</v>
      </c>
      <c r="C7" s="6" t="s">
        <v>24</v>
      </c>
      <c r="D7" s="6" t="s">
        <v>6</v>
      </c>
      <c r="E7" s="5">
        <v>2602</v>
      </c>
      <c r="H7" s="9">
        <v>47528</v>
      </c>
      <c r="I7" s="6" t="s">
        <v>5</v>
      </c>
      <c r="J7" s="18"/>
      <c r="K7" s="18"/>
      <c r="L7" s="18">
        <v>298.27</v>
      </c>
      <c r="M7" s="19">
        <v>0.60255000000000003</v>
      </c>
      <c r="N7" s="18">
        <v>179.7225885</v>
      </c>
      <c r="T7" s="4" t="str">
        <v>Oficinas</v>
      </c>
      <c r="U7" s="4" t="str">
        <v>CONTOURGLOBAL</v>
      </c>
      <c r="V7" s="10" t="str" cm="1">
        <f t="array" ref="V7">IF(INDEX(_xlfn.ANCHORARRAY($AE$2),ROW()-6)="","",_xlfn.TEXTJOIN(", ",TRUE,IF($AD$2:$AD$757=INDEX(_xlfn.ANCHORARRAY($AE$2),ROW()-6),$E$2:$E$757,"")))</f>
        <v>2001, 2002</v>
      </c>
      <c r="W7" s="15" cm="1">
        <f t="array" ref="W7">IF(INDEX(_xlfn.ANCHORARRAY($AE$2),ROW()-6)="","",SUMIFS($L$2:$L$757,$AD$2:$AD$757,INDEX(_xlfn.ANCHORARRAY($AE$2),ROW()-6)))</f>
        <v>622.76</v>
      </c>
      <c r="X7" s="16" cm="1">
        <f t="array" ref="X7">IF(INDEX(_xlfn.ANCHORARRAY($AE$2),ROW()-6)="","",IFERROR(_xlfn.XLOOKUP(INDEX(_xlfn.ANCHORARRAY($AE$2),ROW()-6),$AD$2:$AD$757,$G$2:$G$757),""))</f>
        <v>0</v>
      </c>
      <c r="Y7" s="16" cm="1">
        <f t="array" ref="Y7">IF(INDEX(_xlfn.ANCHORARRAY($AE$2),ROW()-6)="","",IFERROR(_xlfn.XLOOKUP(INDEX(_xlfn.ANCHORARRAY($AE$2),ROW()-6),$AD$2:$AD$757,$H$2:$H$757),""))</f>
        <v>47542</v>
      </c>
      <c r="Z7" s="15" cm="1">
        <f t="array" ref="Z7">IF(INDEX(_xlfn.ANCHORARRAY($AE$2),ROW()-6)="","",SUMIFS($N$2:$N$757,$AD$2:$AD$757,INDEX(_xlfn.ANCHORARRAY($AE$2),ROW()-6)))</f>
        <v>373.65599999999995</v>
      </c>
      <c r="AA7" s="17" cm="1">
        <f t="array" ref="AA7">IF(OR(INDEX(_xlfn.ANCHORARRAY($AE$2),ROW()-6)="",W7=0,LEFT(INDEX(_xlfn.ANCHORARRAY($AE$2),ROW()-6),1)="3",LEFT(INDEX(_xlfn.ANCHORARRAY($AE$2),ROW()-6),1)="4"),IF(INDEX(_xlfn.ANCHORARRAY($AE$2),ROW()-6)="","","-"),Z7/W7)</f>
        <v>0.6</v>
      </c>
      <c r="AD7" s="20" t="str">
        <f>IF((B7="")+(B7="Vacante")+(D7=""),"",IFERROR(MATCH(D7,{"Oficinas";"Locales";"Estacionamientos";"Bodegas"},0),5)&amp;"|"&amp;B7&amp;"|"&amp;TEXT(G7,"yyyymmdd")&amp;"|"&amp;TEXT(H7,"yyyymmdd"))</f>
        <v>1|STELLANTIS|19000100|20300214</v>
      </c>
      <c r="AE7" s="4" t="str">
        <v>1|CONTOURGLOBAL|19000100|20300723</v>
      </c>
      <c r="AF7" s="4"/>
    </row>
    <row r="8" spans="1:32" x14ac:dyDescent="0.2">
      <c r="A8" s="5">
        <v>25</v>
      </c>
      <c r="B8" s="6" t="s">
        <v>25</v>
      </c>
      <c r="C8" s="6" t="s">
        <v>25</v>
      </c>
      <c r="D8" s="6" t="s">
        <v>6</v>
      </c>
      <c r="E8" s="5">
        <v>2501</v>
      </c>
      <c r="H8" s="9">
        <v>47657</v>
      </c>
      <c r="I8" s="6" t="s">
        <v>5</v>
      </c>
      <c r="J8" s="18"/>
      <c r="K8" s="18"/>
      <c r="L8" s="18">
        <v>319.59000000000003</v>
      </c>
      <c r="M8" s="19">
        <v>0.62</v>
      </c>
      <c r="N8" s="18">
        <v>198.14580000000001</v>
      </c>
      <c r="T8" s="4" t="str">
        <v>Oficinas</v>
      </c>
      <c r="U8" s="4" t="str">
        <v>DEUTSCHE PHARMA</v>
      </c>
      <c r="V8" s="10" t="str" cm="1">
        <f t="array" ref="V8">IF(INDEX(_xlfn.ANCHORARRAY($AE$2),ROW()-6)="","",_xlfn.TEXTJOIN(", ",TRUE,IF($AD$2:$AD$757=INDEX(_xlfn.ANCHORARRAY($AE$2),ROW()-6),$E$2:$E$757,"")))</f>
        <v>2101</v>
      </c>
      <c r="W8" s="15" cm="1">
        <f t="array" ref="W8">IF(INDEX(_xlfn.ANCHORARRAY($AE$2),ROW()-6)="","",SUMIFS($L$2:$L$757,$AD$2:$AD$757,INDEX(_xlfn.ANCHORARRAY($AE$2),ROW()-6)))</f>
        <v>288.44</v>
      </c>
      <c r="X8" s="16" cm="1">
        <f t="array" ref="X8">IF(INDEX(_xlfn.ANCHORARRAY($AE$2),ROW()-6)="","",IFERROR(_xlfn.XLOOKUP(INDEX(_xlfn.ANCHORARRAY($AE$2),ROW()-6),$AD$2:$AD$757,$G$2:$G$757),""))</f>
        <v>46112</v>
      </c>
      <c r="Y8" s="16" cm="1">
        <f t="array" ref="Y8">IF(INDEX(_xlfn.ANCHORARRAY($AE$2),ROW()-6)="","",IFERROR(_xlfn.XLOOKUP(INDEX(_xlfn.ANCHORARRAY($AE$2),ROW()-6),$AD$2:$AD$757,$H$2:$H$757),""))</f>
        <v>46843</v>
      </c>
      <c r="Z8" s="15" cm="1">
        <f t="array" ref="Z8">IF(INDEX(_xlfn.ANCHORARRAY($AE$2),ROW()-6)="","",SUMIFS($N$2:$N$757,$AD$2:$AD$757,INDEX(_xlfn.ANCHORARRAY($AE$2),ROW()-6)))</f>
        <v>187.48600000000002</v>
      </c>
      <c r="AA8" s="17" cm="1">
        <f t="array" ref="AA8">IF(OR(INDEX(_xlfn.ANCHORARRAY($AE$2),ROW()-6)="",W8=0,LEFT(INDEX(_xlfn.ANCHORARRAY($AE$2),ROW()-6),1)="3",LEFT(INDEX(_xlfn.ANCHORARRAY($AE$2),ROW()-6),1)="4"),IF(INDEX(_xlfn.ANCHORARRAY($AE$2),ROW()-6)="","","-"),Z8/W8)</f>
        <v>0.65</v>
      </c>
      <c r="AD8" s="20" t="str">
        <f>IF((B8="")+(B8="Vacante")+(D8=""),"",IFERROR(MATCH(D8,{"Oficinas";"Locales";"Estacionamientos";"Bodegas"},0),5)&amp;"|"&amp;B8&amp;"|"&amp;TEXT(G8,"yyyymmdd")&amp;"|"&amp;TEXT(H8,"yyyymmdd"))</f>
        <v>1|SYMNETICS S.A.|19000100|20300623</v>
      </c>
      <c r="AE8" s="4" t="str">
        <v>1|DEUTSCHE PHARMA|20270515|20290831</v>
      </c>
      <c r="AF8" s="4"/>
    </row>
    <row r="9" spans="1:32" x14ac:dyDescent="0.2">
      <c r="A9" s="5">
        <v>25</v>
      </c>
      <c r="B9" s="6" t="s">
        <v>193</v>
      </c>
      <c r="C9" s="6" t="s">
        <v>24</v>
      </c>
      <c r="D9" s="6" t="s">
        <v>6</v>
      </c>
      <c r="E9" s="5">
        <v>2502</v>
      </c>
      <c r="H9" s="9">
        <v>47528</v>
      </c>
      <c r="I9" s="6" t="s">
        <v>5</v>
      </c>
      <c r="J9" s="18"/>
      <c r="K9" s="18"/>
      <c r="L9" s="18">
        <v>298.69</v>
      </c>
      <c r="M9" s="19">
        <v>0.60255000000000003</v>
      </c>
      <c r="N9" s="18">
        <v>179.97565950000001</v>
      </c>
      <c r="T9" s="4" t="str">
        <v>Oficinas</v>
      </c>
      <c r="U9" s="4" t="str">
        <v>DEVON</v>
      </c>
      <c r="V9" s="10" t="str" cm="1">
        <f t="array" ref="V9">IF(INDEX(_xlfn.ANCHORARRAY($AE$2),ROW()-6)="","",_xlfn.TEXTJOIN(", ",TRUE,IF($AD$2:$AD$757=INDEX(_xlfn.ANCHORARRAY($AE$2),ROW()-6),$E$2:$E$757,"")))</f>
        <v>2701</v>
      </c>
      <c r="W9" s="15" cm="1">
        <f t="array" ref="W9">IF(INDEX(_xlfn.ANCHORARRAY($AE$2),ROW()-6)="","",SUMIFS($L$2:$L$757,$AD$2:$AD$757,INDEX(_xlfn.ANCHORARRAY($AE$2),ROW()-6)))</f>
        <v>318.62</v>
      </c>
      <c r="X9" s="16" cm="1">
        <f t="array" ref="X9">IF(INDEX(_xlfn.ANCHORARRAY($AE$2),ROW()-6)="","",IFERROR(_xlfn.XLOOKUP(INDEX(_xlfn.ANCHORARRAY($AE$2),ROW()-6),$AD$2:$AD$757,$G$2:$G$757),""))</f>
        <v>46023</v>
      </c>
      <c r="Y9" s="16" cm="1">
        <f t="array" ref="Y9">IF(INDEX(_xlfn.ANCHORARRAY($AE$2),ROW()-6)="","",IFERROR(_xlfn.XLOOKUP(INDEX(_xlfn.ANCHORARRAY($AE$2),ROW()-6),$AD$2:$AD$757,$H$2:$H$757),""))</f>
        <v>46568</v>
      </c>
      <c r="Z9" s="15" cm="1">
        <f t="array" ref="Z9">IF(INDEX(_xlfn.ANCHORARRAY($AE$2),ROW()-6)="","",SUMIFS($N$2:$N$757,$AD$2:$AD$757,INDEX(_xlfn.ANCHORARRAY($AE$2),ROW()-6)))</f>
        <v>210.28920000000002</v>
      </c>
      <c r="AA9" s="17" cm="1">
        <f t="array" ref="AA9">IF(OR(INDEX(_xlfn.ANCHORARRAY($AE$2),ROW()-6)="",W9=0,LEFT(INDEX(_xlfn.ANCHORARRAY($AE$2),ROW()-6),1)="3",LEFT(INDEX(_xlfn.ANCHORARRAY($AE$2),ROW()-6),1)="4"),IF(INDEX(_xlfn.ANCHORARRAY($AE$2),ROW()-6)="","","-"),Z9/W9)</f>
        <v>0.66</v>
      </c>
      <c r="AD9" s="20" t="str">
        <f>IF((B9="")+(B9="Vacante")+(D9=""),"",IFERROR(MATCH(D9,{"Oficinas";"Locales";"Estacionamientos";"Bodegas"},0),5)&amp;"|"&amp;B9&amp;"|"&amp;TEXT(G9,"yyyymmdd")&amp;"|"&amp;TEXT(H9,"yyyymmdd"))</f>
        <v>1|STELLANTIS|19000100|20300214</v>
      </c>
      <c r="AE9" s="4" t="str">
        <v>1|DEVON|19000100|20260719</v>
      </c>
      <c r="AF9" s="4"/>
    </row>
    <row r="10" spans="1:32" x14ac:dyDescent="0.2">
      <c r="A10" s="5">
        <v>24</v>
      </c>
      <c r="B10" s="6" t="s">
        <v>192</v>
      </c>
      <c r="C10" s="6" t="s">
        <v>26</v>
      </c>
      <c r="D10" s="6" t="s">
        <v>6</v>
      </c>
      <c r="E10" s="5">
        <v>2401</v>
      </c>
      <c r="H10" s="9">
        <v>47391</v>
      </c>
      <c r="I10" s="6" t="s">
        <v>5</v>
      </c>
      <c r="J10" s="18"/>
      <c r="K10" s="18"/>
      <c r="L10" s="18">
        <v>319.96000000000004</v>
      </c>
      <c r="M10" s="19">
        <v>0.67500000000000004</v>
      </c>
      <c r="N10" s="18">
        <v>215.97300000000004</v>
      </c>
      <c r="T10" s="4" t="str">
        <v>Oficinas</v>
      </c>
      <c r="U10" s="4" t="str">
        <v>GLOBALFLEX</v>
      </c>
      <c r="V10" s="10" t="str" cm="1">
        <f t="array" ref="V10">IF(INDEX(_xlfn.ANCHORARRAY($AE$2),ROW()-6)="","",_xlfn.TEXTJOIN(", ",TRUE,IF($AD$2:$AD$757=INDEX(_xlfn.ANCHORARRAY($AE$2),ROW()-6),$E$2:$E$757,"")))</f>
        <v>1801, 1802</v>
      </c>
      <c r="W10" s="15" cm="1">
        <f t="array" ref="W10">IF(INDEX(_xlfn.ANCHORARRAY($AE$2),ROW()-6)="","",SUMIFS($L$2:$L$757,$AD$2:$AD$757,INDEX(_xlfn.ANCHORARRAY($AE$2),ROW()-6)))</f>
        <v>754.31999999999994</v>
      </c>
      <c r="X10" s="16" cm="1">
        <f t="array" ref="X10">IF(INDEX(_xlfn.ANCHORARRAY($AE$2),ROW()-6)="","",IFERROR(_xlfn.XLOOKUP(INDEX(_xlfn.ANCHORARRAY($AE$2),ROW()-6),$AD$2:$AD$757,$G$2:$G$757),""))</f>
        <v>0</v>
      </c>
      <c r="Y10" s="16" cm="1">
        <f t="array" ref="Y10">IF(INDEX(_xlfn.ANCHORARRAY($AE$2),ROW()-6)="","",IFERROR(_xlfn.XLOOKUP(INDEX(_xlfn.ANCHORARRAY($AE$2),ROW()-6),$AD$2:$AD$757,$H$2:$H$757),""))</f>
        <v>47238</v>
      </c>
      <c r="Z10" s="15" cm="1">
        <f t="array" ref="Z10">IF(INDEX(_xlfn.ANCHORARRAY($AE$2),ROW()-6)="","",SUMIFS($N$2:$N$757,$AD$2:$AD$757,INDEX(_xlfn.ANCHORARRAY($AE$2),ROW()-6)))</f>
        <v>546.88200000000006</v>
      </c>
      <c r="AA10" s="17" cm="1">
        <f t="array" ref="AA10">IF(OR(INDEX(_xlfn.ANCHORARRAY($AE$2),ROW()-6)="",W10=0,LEFT(INDEX(_xlfn.ANCHORARRAY($AE$2),ROW()-6),1)="3",LEFT(INDEX(_xlfn.ANCHORARRAY($AE$2),ROW()-6),1)="4"),IF(INDEX(_xlfn.ANCHORARRAY($AE$2),ROW()-6)="","","-"),Z10/W10)</f>
        <v>0.72500000000000009</v>
      </c>
      <c r="AD10" s="20" t="str">
        <f>IF((B10="")+(B10="Vacante")+(D10=""),"",IFERROR(MATCH(D10,{"Oficinas";"Locales";"Estacionamientos";"Bodegas"},0),5)&amp;"|"&amp;B10&amp;"|"&amp;TEXT(G10,"yyyymmdd")&amp;"|"&amp;TEXT(H10,"yyyymmdd"))</f>
        <v>1|REGUS|19000100|20290930</v>
      </c>
      <c r="AE10" s="4" t="str">
        <v>1|GLOBALFLEX|-|20271110</v>
      </c>
      <c r="AF10" s="4"/>
    </row>
    <row r="11" spans="1:32" x14ac:dyDescent="0.2">
      <c r="A11" s="5">
        <v>24</v>
      </c>
      <c r="B11" s="6" t="s">
        <v>192</v>
      </c>
      <c r="C11" s="6" t="s">
        <v>26</v>
      </c>
      <c r="D11" s="6" t="s">
        <v>6</v>
      </c>
      <c r="E11" s="5">
        <v>2402</v>
      </c>
      <c r="H11" s="9">
        <v>47391</v>
      </c>
      <c r="I11" s="6" t="s">
        <v>5</v>
      </c>
      <c r="J11" s="18"/>
      <c r="K11" s="18"/>
      <c r="L11" s="18">
        <v>299.09000000000003</v>
      </c>
      <c r="M11" s="19">
        <v>0.67500000000000004</v>
      </c>
      <c r="N11" s="18">
        <v>201.88575000000003</v>
      </c>
      <c r="T11" s="4" t="str">
        <v>Oficinas</v>
      </c>
      <c r="U11" s="4" t="str">
        <v>GLOBALFLEX</v>
      </c>
      <c r="V11" s="10" t="str" cm="1">
        <f t="array" ref="V11">IF(INDEX(_xlfn.ANCHORARRAY($AE$2),ROW()-6)="","",_xlfn.TEXTJOIN(", ",TRUE,IF($AD$2:$AD$757=INDEX(_xlfn.ANCHORARRAY($AE$2),ROW()-6),$E$2:$E$757,"")))</f>
        <v>201</v>
      </c>
      <c r="W11" s="15" cm="1">
        <f t="array" ref="W11">IF(INDEX(_xlfn.ANCHORARRAY($AE$2),ROW()-6)="","",SUMIFS($L$2:$L$757,$AD$2:$AD$757,INDEX(_xlfn.ANCHORARRAY($AE$2),ROW()-6)))</f>
        <v>63.48</v>
      </c>
      <c r="X11" s="16" t="str" cm="1">
        <f t="array" ref="X11">IF(INDEX(_xlfn.ANCHORARRAY($AE$2),ROW()-6)="","",IFERROR(_xlfn.XLOOKUP(INDEX(_xlfn.ANCHORARRAY($AE$2),ROW()-6),$AD$2:$AD$757,$G$2:$G$757),""))</f>
        <v>-</v>
      </c>
      <c r="Y11" s="16" t="str" cm="1">
        <f t="array" ref="Y11">IF(INDEX(_xlfn.ANCHORARRAY($AE$2),ROW()-6)="","",IFERROR(_xlfn.XLOOKUP(INDEX(_xlfn.ANCHORARRAY($AE$2),ROW()-6),$AD$2:$AD$757,$H$2:$H$757),""))</f>
        <v>-</v>
      </c>
      <c r="Z11" s="15" cm="1">
        <f t="array" ref="Z11">IF(INDEX(_xlfn.ANCHORARRAY($AE$2),ROW()-6)="","",SUMIFS($N$2:$N$757,$AD$2:$AD$757,INDEX(_xlfn.ANCHORARRAY($AE$2),ROW()-6)))</f>
        <v>0</v>
      </c>
      <c r="AA11" s="17" cm="1">
        <f t="array" ref="AA11">IF(OR(INDEX(_xlfn.ANCHORARRAY($AE$2),ROW()-6)="",W11=0,LEFT(INDEX(_xlfn.ANCHORARRAY($AE$2),ROW()-6),1)="3",LEFT(INDEX(_xlfn.ANCHORARRAY($AE$2),ROW()-6),1)="4"),IF(INDEX(_xlfn.ANCHORARRAY($AE$2),ROW()-6)="","","-"),Z11/W11)</f>
        <v>0</v>
      </c>
      <c r="AD11" s="20" t="str">
        <f>IF((B11="")+(B11="Vacante")+(D11=""),"",IFERROR(MATCH(D11,{"Oficinas";"Locales";"Estacionamientos";"Bodegas"},0),5)&amp;"|"&amp;B11&amp;"|"&amp;TEXT(G11,"yyyymmdd")&amp;"|"&amp;TEXT(H11,"yyyymmdd"))</f>
        <v>1|REGUS|19000100|20290930</v>
      </c>
      <c r="AE11" s="4" t="str">
        <v>1|GLOBALFLEX|19000100|20271110</v>
      </c>
      <c r="AF11" s="4"/>
    </row>
    <row r="12" spans="1:32" x14ac:dyDescent="0.2">
      <c r="A12" s="5">
        <v>23</v>
      </c>
      <c r="B12" s="6" t="s">
        <v>192</v>
      </c>
      <c r="C12" s="6" t="s">
        <v>26</v>
      </c>
      <c r="D12" s="6" t="s">
        <v>6</v>
      </c>
      <c r="E12" s="5">
        <v>2301</v>
      </c>
      <c r="H12" s="9">
        <v>47391</v>
      </c>
      <c r="I12" s="6" t="s">
        <v>5</v>
      </c>
      <c r="J12" s="18"/>
      <c r="K12" s="18"/>
      <c r="L12" s="18">
        <v>320.32</v>
      </c>
      <c r="M12" s="19">
        <v>0.67500000000000004</v>
      </c>
      <c r="N12" s="18">
        <v>216.21600000000001</v>
      </c>
      <c r="T12" s="4" t="str">
        <v>Oficinas</v>
      </c>
      <c r="U12" s="4" t="str">
        <v>HITHIUM</v>
      </c>
      <c r="V12" s="10" t="str" cm="1">
        <f t="array" ref="V12">IF(INDEX(_xlfn.ANCHORARRAY($AE$2),ROW()-6)="","",_xlfn.TEXTJOIN(", ",TRUE,IF($AD$2:$AD$757=INDEX(_xlfn.ANCHORARRAY($AE$2),ROW()-6),$E$2:$E$757,"")))</f>
        <v>1901, 1902</v>
      </c>
      <c r="W12" s="15" cm="1">
        <f t="array" ref="W12">IF(INDEX(_xlfn.ANCHORARRAY($AE$2),ROW()-6)="","",SUMIFS($L$2:$L$757,$AD$2:$AD$757,INDEX(_xlfn.ANCHORARRAY($AE$2),ROW()-6)))</f>
        <v>754.76</v>
      </c>
      <c r="X12" s="16" cm="1">
        <f t="array" ref="X12">IF(INDEX(_xlfn.ANCHORARRAY($AE$2),ROW()-6)="","",IFERROR(_xlfn.XLOOKUP(INDEX(_xlfn.ANCHORARRAY($AE$2),ROW()-6),$AD$2:$AD$757,$G$2:$G$757),""))</f>
        <v>0</v>
      </c>
      <c r="Y12" s="16" cm="1">
        <f t="array" ref="Y12">IF(INDEX(_xlfn.ANCHORARRAY($AE$2),ROW()-6)="","",IFERROR(_xlfn.XLOOKUP(INDEX(_xlfn.ANCHORARRAY($AE$2),ROW()-6),$AD$2:$AD$757,$H$2:$H$757),""))</f>
        <v>47687</v>
      </c>
      <c r="Z12" s="15" cm="1">
        <f t="array" ref="Z12">IF(INDEX(_xlfn.ANCHORARRAY($AE$2),ROW()-6)="","",SUMIFS($N$2:$N$757,$AD$2:$AD$757,INDEX(_xlfn.ANCHORARRAY($AE$2),ROW()-6)))</f>
        <v>452.85599999999999</v>
      </c>
      <c r="AA12" s="17" cm="1">
        <f t="array" ref="AA12">IF(OR(INDEX(_xlfn.ANCHORARRAY($AE$2),ROW()-6)="",W12=0,LEFT(INDEX(_xlfn.ANCHORARRAY($AE$2),ROW()-6),1)="3",LEFT(INDEX(_xlfn.ANCHORARRAY($AE$2),ROW()-6),1)="4"),IF(INDEX(_xlfn.ANCHORARRAY($AE$2),ROW()-6)="","","-"),Z12/W12)</f>
        <v>0.6</v>
      </c>
      <c r="AD12" s="20" t="str">
        <f>IF((B12="")+(B12="Vacante")+(D12=""),"",IFERROR(MATCH(D12,{"Oficinas";"Locales";"Estacionamientos";"Bodegas"},0),5)&amp;"|"&amp;B12&amp;"|"&amp;TEXT(G12,"yyyymmdd")&amp;"|"&amp;TEXT(H12,"yyyymmdd"))</f>
        <v>1|REGUS|19000100|20290930</v>
      </c>
      <c r="AE12" s="4" t="str">
        <v>1|HITHIUM|19000100|20290430</v>
      </c>
      <c r="AF12" s="4"/>
    </row>
    <row r="13" spans="1:32" x14ac:dyDescent="0.2">
      <c r="A13" s="5">
        <v>23</v>
      </c>
      <c r="B13" s="6" t="s">
        <v>192</v>
      </c>
      <c r="C13" s="6" t="s">
        <v>26</v>
      </c>
      <c r="D13" s="6" t="s">
        <v>6</v>
      </c>
      <c r="E13" s="5">
        <v>2302</v>
      </c>
      <c r="H13" s="9">
        <v>47391</v>
      </c>
      <c r="I13" s="6" t="s">
        <v>5</v>
      </c>
      <c r="J13" s="18"/>
      <c r="K13" s="18"/>
      <c r="L13" s="18">
        <v>299.44</v>
      </c>
      <c r="M13" s="19">
        <v>0.67500000000000004</v>
      </c>
      <c r="N13" s="18">
        <v>202.12200000000001</v>
      </c>
      <c r="T13" s="4" t="str">
        <v>Oficinas</v>
      </c>
      <c r="U13" s="4" t="str">
        <v>JOHNSON HEALTH TECH</v>
      </c>
      <c r="V13" s="10" t="str" cm="1">
        <f t="array" ref="V13">IF(INDEX(_xlfn.ANCHORARRAY($AE$2),ROW()-6)="","",_xlfn.TEXTJOIN(", ",TRUE,IF($AD$2:$AD$757=INDEX(_xlfn.ANCHORARRAY($AE$2),ROW()-6),$E$2:$E$757,"")))</f>
        <v>204</v>
      </c>
      <c r="W13" s="15" cm="1">
        <f t="array" ref="W13">IF(INDEX(_xlfn.ANCHORARRAY($AE$2),ROW()-6)="","",SUMIFS($L$2:$L$757,$AD$2:$AD$757,INDEX(_xlfn.ANCHORARRAY($AE$2),ROW()-6)))</f>
        <v>558</v>
      </c>
      <c r="X13" s="16" cm="1">
        <f t="array" ref="X13">IF(INDEX(_xlfn.ANCHORARRAY($AE$2),ROW()-6)="","",IFERROR(_xlfn.XLOOKUP(INDEX(_xlfn.ANCHORARRAY($AE$2),ROW()-6),$AD$2:$AD$757,$G$2:$G$757),""))</f>
        <v>46522</v>
      </c>
      <c r="Y13" s="16" cm="1">
        <f t="array" ref="Y13">IF(INDEX(_xlfn.ANCHORARRAY($AE$2),ROW()-6)="","",IFERROR(_xlfn.XLOOKUP(INDEX(_xlfn.ANCHORARRAY($AE$2),ROW()-6),$AD$2:$AD$757,$H$2:$H$757),""))</f>
        <v>47361</v>
      </c>
      <c r="Z13" s="15" cm="1">
        <f t="array" ref="Z13">IF(INDEX(_xlfn.ANCHORARRAY($AE$2),ROW()-6)="","",SUMIFS($N$2:$N$757,$AD$2:$AD$757,INDEX(_xlfn.ANCHORARRAY($AE$2),ROW()-6)))</f>
        <v>279</v>
      </c>
      <c r="AA13" s="17" cm="1">
        <f t="array" ref="AA13">IF(OR(INDEX(_xlfn.ANCHORARRAY($AE$2),ROW()-6)="",W13=0,LEFT(INDEX(_xlfn.ANCHORARRAY($AE$2),ROW()-6),1)="3",LEFT(INDEX(_xlfn.ANCHORARRAY($AE$2),ROW()-6),1)="4"),IF(INDEX(_xlfn.ANCHORARRAY($AE$2),ROW()-6)="","","-"),Z13/W13)</f>
        <v>0.5</v>
      </c>
      <c r="AD13" s="20" t="str">
        <f>IF((B13="")+(B13="Vacante")+(D13=""),"",IFERROR(MATCH(D13,{"Oficinas";"Locales";"Estacionamientos";"Bodegas"},0),5)&amp;"|"&amp;B13&amp;"|"&amp;TEXT(G13,"yyyymmdd")&amp;"|"&amp;TEXT(H13,"yyyymmdd"))</f>
        <v>1|REGUS|19000100|20290930</v>
      </c>
      <c r="AE13" s="4" t="str">
        <v>1|JOHNSON HEALTH TECH|19000100|20300630</v>
      </c>
      <c r="AF13" s="4"/>
    </row>
    <row r="14" spans="1:32" x14ac:dyDescent="0.2">
      <c r="A14" s="5">
        <v>22</v>
      </c>
      <c r="B14" s="6" t="s">
        <v>190</v>
      </c>
      <c r="C14" s="6" t="s">
        <v>27</v>
      </c>
      <c r="D14" s="6" t="s">
        <v>6</v>
      </c>
      <c r="E14" s="5" t="s">
        <v>28</v>
      </c>
      <c r="H14" s="9">
        <v>47664</v>
      </c>
      <c r="I14" s="6" t="s">
        <v>5</v>
      </c>
      <c r="J14" s="18"/>
      <c r="K14" s="18"/>
      <c r="L14" s="18">
        <v>172.31</v>
      </c>
      <c r="M14" s="19">
        <v>0.64</v>
      </c>
      <c r="N14" s="18">
        <v>110.2784</v>
      </c>
      <c r="T14" s="4" t="str">
        <v>Oficinas</v>
      </c>
      <c r="U14" s="4" t="str">
        <v>KAUFMANN</v>
      </c>
      <c r="V14" s="10" t="str" cm="1">
        <f t="array" ref="V14">IF(INDEX(_xlfn.ANCHORARRAY($AE$2),ROW()-6)="","",_xlfn.TEXTJOIN(", ",TRUE,IF($AD$2:$AD$757=INDEX(_xlfn.ANCHORARRAY($AE$2),ROW()-6),$E$2:$E$757,"")))</f>
        <v>1701 A, 1701 B, 1702</v>
      </c>
      <c r="W14" s="15" cm="1">
        <f t="array" ref="W14">IF(INDEX(_xlfn.ANCHORARRAY($AE$2),ROW()-6)="","",SUMIFS($L$2:$L$757,$AD$2:$AD$757,INDEX(_xlfn.ANCHORARRAY($AE$2),ROW()-6)))</f>
        <v>481.63</v>
      </c>
      <c r="X14" s="16" cm="1">
        <f t="array" ref="X14">IF(INDEX(_xlfn.ANCHORARRAY($AE$2),ROW()-6)="","",IFERROR(_xlfn.XLOOKUP(INDEX(_xlfn.ANCHORARRAY($AE$2),ROW()-6),$AD$2:$AD$757,$G$2:$G$757),""))</f>
        <v>0</v>
      </c>
      <c r="Y14" s="16" cm="1">
        <f t="array" ref="Y14">IF(INDEX(_xlfn.ANCHORARRAY($AE$2),ROW()-6)="","",IFERROR(_xlfn.XLOOKUP(INDEX(_xlfn.ANCHORARRAY($AE$2),ROW()-6),$AD$2:$AD$757,$H$2:$H$757),""))</f>
        <v>46222</v>
      </c>
      <c r="Z14" s="15" cm="1">
        <f t="array" ref="Z14">IF(INDEX(_xlfn.ANCHORARRAY($AE$2),ROW()-6)="","",SUMIFS($N$2:$N$757,$AD$2:$AD$757,INDEX(_xlfn.ANCHORARRAY($AE$2),ROW()-6)))</f>
        <v>332.32469999999995</v>
      </c>
      <c r="AA14" s="17" cm="1">
        <f t="array" ref="AA14">IF(OR(INDEX(_xlfn.ANCHORARRAY($AE$2),ROW()-6)="",W14=0,LEFT(INDEX(_xlfn.ANCHORARRAY($AE$2),ROW()-6),1)="3",LEFT(INDEX(_xlfn.ANCHORARRAY($AE$2),ROW()-6),1)="4"),IF(INDEX(_xlfn.ANCHORARRAY($AE$2),ROW()-6)="","","-"),Z14/W14)</f>
        <v>0.69</v>
      </c>
      <c r="AD14" s="20" t="str">
        <f>IF((B14="")+(B14="Vacante")+(D14=""),"",IFERROR(MATCH(D14,{"Oficinas";"Locales";"Estacionamientos";"Bodegas"},0),5)&amp;"|"&amp;B14&amp;"|"&amp;TEXT(G14,"yyyymmdd")&amp;"|"&amp;TEXT(H14,"yyyymmdd"))</f>
        <v>1|JOHNSON HEALTH TECH|19000100|20300630</v>
      </c>
      <c r="AE14" s="4" t="str">
        <v>1|KAUFMANN|19000100|20280831</v>
      </c>
      <c r="AF14" s="4"/>
    </row>
    <row r="15" spans="1:32" x14ac:dyDescent="0.2">
      <c r="A15" s="5">
        <v>22</v>
      </c>
      <c r="B15" s="6" t="s">
        <v>191</v>
      </c>
      <c r="C15" s="6" t="s">
        <v>29</v>
      </c>
      <c r="D15" s="6" t="s">
        <v>6</v>
      </c>
      <c r="E15" s="5" t="s">
        <v>30</v>
      </c>
      <c r="G15" s="9">
        <v>46492</v>
      </c>
      <c r="H15" s="9">
        <v>47588</v>
      </c>
      <c r="I15" s="6" t="s">
        <v>5</v>
      </c>
      <c r="J15" s="18"/>
      <c r="K15" s="18"/>
      <c r="L15" s="18">
        <v>148.41999999999999</v>
      </c>
      <c r="M15" s="19">
        <v>0.7</v>
      </c>
      <c r="N15" s="18">
        <v>103.89399999999999</v>
      </c>
      <c r="T15" s="4" t="str">
        <v>Oficinas</v>
      </c>
      <c r="U15" s="4" t="str">
        <v xml:space="preserve">LANDMARK </v>
      </c>
      <c r="V15" s="10" t="str" cm="1">
        <f t="array" ref="V15">IF(INDEX(_xlfn.ANCHORARRAY($AE$2),ROW()-6)="","",_xlfn.TEXTJOIN(", ",TRUE,IF($AD$2:$AD$757=INDEX(_xlfn.ANCHORARRAY($AE$2),ROW()-6),$E$2:$E$757,"")))</f>
        <v>1401, 1402</v>
      </c>
      <c r="W15" s="15" cm="1">
        <f t="array" ref="W15">IF(INDEX(_xlfn.ANCHORARRAY($AE$2),ROW()-6)="","",SUMIFS($L$2:$L$757,$AD$2:$AD$757,INDEX(_xlfn.ANCHORARRAY($AE$2),ROW()-6)))</f>
        <v>755.47</v>
      </c>
      <c r="X15" s="16" t="str" cm="1">
        <f t="array" ref="X15">IF(INDEX(_xlfn.ANCHORARRAY($AE$2),ROW()-6)="","",IFERROR(_xlfn.XLOOKUP(INDEX(_xlfn.ANCHORARRAY($AE$2),ROW()-6),$AD$2:$AD$757,$G$2:$G$757),""))</f>
        <v>-</v>
      </c>
      <c r="Y15" s="16" cm="1">
        <f t="array" ref="Y15">IF(INDEX(_xlfn.ANCHORARRAY($AE$2),ROW()-6)="","",IFERROR(_xlfn.XLOOKUP(INDEX(_xlfn.ANCHORARRAY($AE$2),ROW()-6),$AD$2:$AD$757,$H$2:$H$757),""))</f>
        <v>46701</v>
      </c>
      <c r="Z15" s="15" cm="1">
        <f t="array" ref="Z15">IF(INDEX(_xlfn.ANCHORARRAY($AE$2),ROW()-6)="","",SUMIFS($N$2:$N$757,$AD$2:$AD$757,INDEX(_xlfn.ANCHORARRAY($AE$2),ROW()-6)))</f>
        <v>468.39140000000003</v>
      </c>
      <c r="AA15" s="17" cm="1">
        <f t="array" ref="AA15">IF(OR(INDEX(_xlfn.ANCHORARRAY($AE$2),ROW()-6)="",W15=0,LEFT(INDEX(_xlfn.ANCHORARRAY($AE$2),ROW()-6),1)="3",LEFT(INDEX(_xlfn.ANCHORARRAY($AE$2),ROW()-6),1)="4"),IF(INDEX(_xlfn.ANCHORARRAY($AE$2),ROW()-6)="","","-"),Z15/W15)</f>
        <v>0.62</v>
      </c>
      <c r="AD15" s="20" t="str">
        <f>IF((B15="")+(B15="Vacante")+(D15=""),"",IFERROR(MATCH(D15,{"Oficinas";"Locales";"Estacionamientos";"Bodegas"},0),5)&amp;"|"&amp;B15&amp;"|"&amp;TEXT(G15,"yyyymmdd")&amp;"|"&amp;TEXT(H15,"yyyymmdd"))</f>
        <v>1|SPENCER STUART|20270415|20300415</v>
      </c>
      <c r="AE15" s="4" t="str">
        <v>1|LANDMARK |-|20301214</v>
      </c>
      <c r="AF15" s="4"/>
    </row>
    <row r="16" spans="1:32" x14ac:dyDescent="0.2">
      <c r="A16" s="5">
        <v>22</v>
      </c>
      <c r="B16" s="6" t="s">
        <v>191</v>
      </c>
      <c r="C16" s="6" t="s">
        <v>29</v>
      </c>
      <c r="D16" s="6" t="s">
        <v>6</v>
      </c>
      <c r="E16" s="5">
        <v>2202</v>
      </c>
      <c r="G16" s="9">
        <v>46492</v>
      </c>
      <c r="H16" s="9">
        <v>47588</v>
      </c>
      <c r="I16" s="6" t="s">
        <v>5</v>
      </c>
      <c r="J16" s="18"/>
      <c r="K16" s="18"/>
      <c r="L16" s="18">
        <v>299.85000000000002</v>
      </c>
      <c r="M16" s="19">
        <v>0.7</v>
      </c>
      <c r="N16" s="18">
        <v>209.89500000000001</v>
      </c>
      <c r="T16" s="4" t="str">
        <v>Oficinas</v>
      </c>
      <c r="U16" s="4" t="str">
        <v>NUEVA ZELANDIA</v>
      </c>
      <c r="V16" s="10" t="str" cm="1">
        <f t="array" ref="V16">IF(INDEX(_xlfn.ANCHORARRAY($AE$2),ROW()-6)="","",_xlfn.TEXTJOIN(", ",TRUE,IF($AD$2:$AD$757=INDEX(_xlfn.ANCHORARRAY($AE$2),ROW()-6),$E$2:$E$757,"")))</f>
        <v>1701 C</v>
      </c>
      <c r="W16" s="15" cm="1">
        <f t="array" ref="W16">IF(INDEX(_xlfn.ANCHORARRAY($AE$2),ROW()-6)="","",SUMIFS($L$2:$L$757,$AD$2:$AD$757,INDEX(_xlfn.ANCHORARRAY($AE$2),ROW()-6)))</f>
        <v>273.13</v>
      </c>
      <c r="X16" s="16" cm="1">
        <f t="array" ref="X16">IF(INDEX(_xlfn.ANCHORARRAY($AE$2),ROW()-6)="","",IFERROR(_xlfn.XLOOKUP(INDEX(_xlfn.ANCHORARRAY($AE$2),ROW()-6),$AD$2:$AD$757,$G$2:$G$757),""))</f>
        <v>0</v>
      </c>
      <c r="Y16" s="16" cm="1">
        <f t="array" ref="Y16">IF(INDEX(_xlfn.ANCHORARRAY($AE$2),ROW()-6)="","",IFERROR(_xlfn.XLOOKUP(INDEX(_xlfn.ANCHORARRAY($AE$2),ROW()-6),$AD$2:$AD$757,$H$2:$H$757),""))</f>
        <v>46701</v>
      </c>
      <c r="Z16" s="15" cm="1">
        <f t="array" ref="Z16">IF(INDEX(_xlfn.ANCHORARRAY($AE$2),ROW()-6)="","",SUMIFS($N$2:$N$757,$AD$2:$AD$757,INDEX(_xlfn.ANCHORARRAY($AE$2),ROW()-6)))</f>
        <v>177.53450000000001</v>
      </c>
      <c r="AA16" s="17" cm="1">
        <f t="array" ref="AA16">IF(OR(INDEX(_xlfn.ANCHORARRAY($AE$2),ROW()-6)="",W16=0,LEFT(INDEX(_xlfn.ANCHORARRAY($AE$2),ROW()-6),1)="3",LEFT(INDEX(_xlfn.ANCHORARRAY($AE$2),ROW()-6),1)="4"),IF(INDEX(_xlfn.ANCHORARRAY($AE$2),ROW()-6)="","","-"),Z16/W16)</f>
        <v>0.65</v>
      </c>
      <c r="AD16" s="20" t="str">
        <f>IF((B16="")+(B16="Vacante")+(D16=""),"",IFERROR(MATCH(D16,{"Oficinas";"Locales";"Estacionamientos";"Bodegas"},0),5)&amp;"|"&amp;B16&amp;"|"&amp;TEXT(G16,"yyyymmdd")&amp;"|"&amp;TEXT(H16,"yyyymmdd"))</f>
        <v>1|SPENCER STUART|20270415|20300415</v>
      </c>
      <c r="AE16" s="4" t="str">
        <v>1|NUEVA ZELANDIA|-|20270531</v>
      </c>
      <c r="AF16" s="4"/>
    </row>
    <row r="17" spans="1:32" x14ac:dyDescent="0.2">
      <c r="A17" s="5">
        <v>21</v>
      </c>
      <c r="B17" s="6" t="s">
        <v>188</v>
      </c>
      <c r="C17" s="6" t="s">
        <v>31</v>
      </c>
      <c r="D17" s="6" t="s">
        <v>6</v>
      </c>
      <c r="E17" s="5">
        <v>2101</v>
      </c>
      <c r="G17" s="9">
        <v>46112</v>
      </c>
      <c r="H17" s="9">
        <v>46843</v>
      </c>
      <c r="I17" s="6" t="s">
        <v>5</v>
      </c>
      <c r="J17" s="18"/>
      <c r="K17" s="18"/>
      <c r="L17" s="18">
        <v>288.44</v>
      </c>
      <c r="M17" s="19">
        <v>0.65</v>
      </c>
      <c r="N17" s="18">
        <v>187.48600000000002</v>
      </c>
      <c r="T17" s="4" t="str">
        <v>Oficinas</v>
      </c>
      <c r="U17" s="4" t="str">
        <v xml:space="preserve">PRICE FORBES </v>
      </c>
      <c r="V17" s="10" t="str" cm="1">
        <f t="array" ref="V17">IF(INDEX(_xlfn.ANCHORARRAY($AE$2),ROW()-6)="","",_xlfn.TEXTJOIN(", ",TRUE,IF($AD$2:$AD$757=INDEX(_xlfn.ANCHORARRAY($AE$2),ROW()-6),$E$2:$E$757,"")))</f>
        <v>1601</v>
      </c>
      <c r="W17" s="15" cm="1">
        <f t="array" ref="W17">IF(INDEX(_xlfn.ANCHORARRAY($AE$2),ROW()-6)="","",SUMIFS($L$2:$L$757,$AD$2:$AD$757,INDEX(_xlfn.ANCHORARRAY($AE$2),ROW()-6)))</f>
        <v>435.70000000000005</v>
      </c>
      <c r="X17" s="16" cm="1">
        <f t="array" ref="X17">IF(INDEX(_xlfn.ANCHORARRAY($AE$2),ROW()-6)="","",IFERROR(_xlfn.XLOOKUP(INDEX(_xlfn.ANCHORARRAY($AE$2),ROW()-6),$AD$2:$AD$757,$G$2:$G$757),""))</f>
        <v>0</v>
      </c>
      <c r="Y17" s="16" cm="1">
        <f t="array" ref="Y17">IF(INDEX(_xlfn.ANCHORARRAY($AE$2),ROW()-6)="","",IFERROR(_xlfn.XLOOKUP(INDEX(_xlfn.ANCHORARRAY($AE$2),ROW()-6),$AD$2:$AD$757,$H$2:$H$757),""))</f>
        <v>47238</v>
      </c>
      <c r="Z17" s="15" cm="1">
        <f t="array" ref="Z17">IF(INDEX(_xlfn.ANCHORARRAY($AE$2),ROW()-6)="","",SUMIFS($N$2:$N$757,$AD$2:$AD$757,INDEX(_xlfn.ANCHORARRAY($AE$2),ROW()-6)))</f>
        <v>0</v>
      </c>
      <c r="AA17" s="17" cm="1">
        <f t="array" ref="AA17">IF(OR(INDEX(_xlfn.ANCHORARRAY($AE$2),ROW()-6)="",W17=0,LEFT(INDEX(_xlfn.ANCHORARRAY($AE$2),ROW()-6),1)="3",LEFT(INDEX(_xlfn.ANCHORARRAY($AE$2),ROW()-6),1)="4"),IF(INDEX(_xlfn.ANCHORARRAY($AE$2),ROW()-6)="","","-"),Z17/W17)</f>
        <v>0</v>
      </c>
      <c r="AD17" s="20" t="str">
        <f>IF((B17="")+(B17="Vacante")+(D17=""),"",IFERROR(MATCH(D17,{"Oficinas";"Locales";"Estacionamientos";"Bodegas"},0),5)&amp;"|"&amp;B17&amp;"|"&amp;TEXT(G17,"yyyymmdd")&amp;"|"&amp;TEXT(H17,"yyyymmdd"))</f>
        <v>1|AMLV GRUPO|20260331|20280331</v>
      </c>
      <c r="AE17" s="4" t="str">
        <v>1|PRICE FORBES |20270311|20290310</v>
      </c>
      <c r="AF17" s="4"/>
    </row>
    <row r="18" spans="1:32" x14ac:dyDescent="0.2">
      <c r="A18" s="5">
        <v>21</v>
      </c>
      <c r="B18" s="6" t="s">
        <v>189</v>
      </c>
      <c r="C18" s="6" t="s">
        <v>32</v>
      </c>
      <c r="D18" s="6" t="s">
        <v>6</v>
      </c>
      <c r="E18" s="5">
        <v>2102</v>
      </c>
      <c r="H18" s="9">
        <v>46387</v>
      </c>
      <c r="I18" s="6" t="s">
        <v>5</v>
      </c>
      <c r="J18" s="18"/>
      <c r="K18" s="18"/>
      <c r="L18" s="18">
        <v>332.78</v>
      </c>
      <c r="M18" s="19">
        <v>0.74</v>
      </c>
      <c r="N18" s="18">
        <v>246.25719999999998</v>
      </c>
      <c r="T18" s="4" t="str">
        <v>Oficinas</v>
      </c>
      <c r="U18" s="4" t="str">
        <v xml:space="preserve">PROGARANTIA </v>
      </c>
      <c r="V18" s="10" t="str" cm="1">
        <f t="array" ref="V18">IF(INDEX(_xlfn.ANCHORARRAY($AE$2),ROW()-6)="","",_xlfn.TEXTJOIN(", ",TRUE,IF($AD$2:$AD$757=INDEX(_xlfn.ANCHORARRAY($AE$2),ROW()-6),$E$2:$E$757,"")))</f>
        <v>2201 A</v>
      </c>
      <c r="W18" s="15" cm="1">
        <f t="array" ref="W18">IF(INDEX(_xlfn.ANCHORARRAY($AE$2),ROW()-6)="","",SUMIFS($L$2:$L$757,$AD$2:$AD$757,INDEX(_xlfn.ANCHORARRAY($AE$2),ROW()-6)))</f>
        <v>172.31</v>
      </c>
      <c r="X18" s="16" cm="1">
        <f t="array" ref="X18">IF(INDEX(_xlfn.ANCHORARRAY($AE$2),ROW()-6)="","",IFERROR(_xlfn.XLOOKUP(INDEX(_xlfn.ANCHORARRAY($AE$2),ROW()-6),$AD$2:$AD$757,$G$2:$G$757),""))</f>
        <v>0</v>
      </c>
      <c r="Y18" s="16" cm="1">
        <f t="array" ref="Y18">IF(INDEX(_xlfn.ANCHORARRAY($AE$2),ROW()-6)="","",IFERROR(_xlfn.XLOOKUP(INDEX(_xlfn.ANCHORARRAY($AE$2),ROW()-6),$AD$2:$AD$757,$H$2:$H$757),""))</f>
        <v>47664</v>
      </c>
      <c r="Z18" s="15" cm="1">
        <f t="array" ref="Z18">IF(INDEX(_xlfn.ANCHORARRAY($AE$2),ROW()-6)="","",SUMIFS($N$2:$N$757,$AD$2:$AD$757,INDEX(_xlfn.ANCHORARRAY($AE$2),ROW()-6)))</f>
        <v>110.2784</v>
      </c>
      <c r="AA18" s="17" cm="1">
        <f t="array" ref="AA18">IF(OR(INDEX(_xlfn.ANCHORARRAY($AE$2),ROW()-6)="",W18=0,LEFT(INDEX(_xlfn.ANCHORARRAY($AE$2),ROW()-6),1)="3",LEFT(INDEX(_xlfn.ANCHORARRAY($AE$2),ROW()-6),1)="4"),IF(INDEX(_xlfn.ANCHORARRAY($AE$2),ROW()-6)="","","-"),Z18/W18)</f>
        <v>0.64</v>
      </c>
      <c r="AD18" s="20" t="str">
        <f>IF((B18="")+(B18="Vacante")+(D18=""),"",IFERROR(MATCH(D18,{"Oficinas";"Locales";"Estacionamientos";"Bodegas"},0),5)&amp;"|"&amp;B18&amp;"|"&amp;TEXT(G18,"yyyymmdd")&amp;"|"&amp;TEXT(H18,"yyyymmdd"))</f>
        <v>1|SUMITOMO|19000100|20261231</v>
      </c>
      <c r="AE18" s="4" t="str">
        <v>1|PROGARANTIA |-|20300531</v>
      </c>
      <c r="AF18" s="4"/>
    </row>
    <row r="19" spans="1:32" x14ac:dyDescent="0.2">
      <c r="A19" s="5">
        <v>20</v>
      </c>
      <c r="B19" s="6" t="s">
        <v>187</v>
      </c>
      <c r="C19" s="6" t="s">
        <v>33</v>
      </c>
      <c r="D19" s="6" t="s">
        <v>6</v>
      </c>
      <c r="E19" s="5">
        <v>2001</v>
      </c>
      <c r="H19" s="9">
        <v>47542</v>
      </c>
      <c r="I19" s="6" t="s">
        <v>5</v>
      </c>
      <c r="L19" s="18">
        <v>322.31</v>
      </c>
      <c r="M19" s="19">
        <v>0.6</v>
      </c>
      <c r="N19" s="18">
        <v>193.386</v>
      </c>
      <c r="T19" s="4" t="str">
        <v>Oficinas</v>
      </c>
      <c r="U19" s="4" t="str">
        <v xml:space="preserve">RED ELECTRICA </v>
      </c>
      <c r="V19" s="10" t="str" cm="1">
        <f t="array" ref="V19">IF(INDEX(_xlfn.ANCHORARRAY($AE$2),ROW()-6)="","",_xlfn.TEXTJOIN(", ",TRUE,IF($AD$2:$AD$757=INDEX(_xlfn.ANCHORARRAY($AE$2),ROW()-6),$E$2:$E$757,"")))</f>
        <v>1501</v>
      </c>
      <c r="W19" s="15" cm="1">
        <f t="array" ref="W19">IF(INDEX(_xlfn.ANCHORARRAY($AE$2),ROW()-6)="","",SUMIFS($L$2:$L$757,$AD$2:$AD$757,INDEX(_xlfn.ANCHORARRAY($AE$2),ROW()-6)))</f>
        <v>365.59</v>
      </c>
      <c r="X19" s="16" cm="1">
        <f t="array" ref="X19">IF(INDEX(_xlfn.ANCHORARRAY($AE$2),ROW()-6)="","",IFERROR(_xlfn.XLOOKUP(INDEX(_xlfn.ANCHORARRAY($AE$2),ROW()-6),$AD$2:$AD$757,$G$2:$G$757),""))</f>
        <v>0</v>
      </c>
      <c r="Y19" s="16" cm="1">
        <f t="array" ref="Y19">IF(INDEX(_xlfn.ANCHORARRAY($AE$2),ROW()-6)="","",IFERROR(_xlfn.XLOOKUP(INDEX(_xlfn.ANCHORARRAY($AE$2),ROW()-6),$AD$2:$AD$757,$H$2:$H$757),""))</f>
        <v>46996</v>
      </c>
      <c r="Z19" s="15" cm="1">
        <f t="array" ref="Z19">IF(INDEX(_xlfn.ANCHORARRAY($AE$2),ROW()-6)="","",SUMIFS($N$2:$N$757,$AD$2:$AD$757,INDEX(_xlfn.ANCHORARRAY($AE$2),ROW()-6)))</f>
        <v>227.39003378999999</v>
      </c>
      <c r="AA19" s="17" cm="1">
        <f t="array" ref="AA19">IF(OR(INDEX(_xlfn.ANCHORARRAY($AE$2),ROW()-6)="",W19=0,LEFT(INDEX(_xlfn.ANCHORARRAY($AE$2),ROW()-6),1)="3",LEFT(INDEX(_xlfn.ANCHORARRAY($AE$2),ROW()-6),1)="4"),IF(INDEX(_xlfn.ANCHORARRAY($AE$2),ROW()-6)="","","-"),Z19/W19)</f>
        <v>0.62198100000000001</v>
      </c>
      <c r="AD19" s="20" t="str">
        <f>IF((B19="")+(B19="Vacante")+(D19=""),"",IFERROR(MATCH(D19,{"Oficinas";"Locales";"Estacionamientos";"Bodegas"},0),5)&amp;"|"&amp;B19&amp;"|"&amp;TEXT(G19,"yyyymmdd")&amp;"|"&amp;TEXT(H19,"yyyymmdd"))</f>
        <v>1|AHK|19000100|20300228</v>
      </c>
      <c r="AE19" s="4" t="str">
        <v>1|RED ELECTRICA |19000100|20281130</v>
      </c>
      <c r="AF19" s="4"/>
    </row>
    <row r="20" spans="1:32" x14ac:dyDescent="0.2">
      <c r="A20" s="5">
        <v>20</v>
      </c>
      <c r="B20" s="6" t="s">
        <v>187</v>
      </c>
      <c r="C20" s="6" t="s">
        <v>33</v>
      </c>
      <c r="D20" s="6" t="s">
        <v>6</v>
      </c>
      <c r="E20" s="5">
        <v>2002</v>
      </c>
      <c r="H20" s="9">
        <v>47542</v>
      </c>
      <c r="I20" s="6" t="s">
        <v>5</v>
      </c>
      <c r="L20" s="18">
        <v>300.45</v>
      </c>
      <c r="M20" s="19">
        <v>0.6</v>
      </c>
      <c r="N20" s="18">
        <v>180.26999999999998</v>
      </c>
      <c r="T20" s="4" t="str">
        <v>Oficinas</v>
      </c>
      <c r="U20" s="4" t="str">
        <v>REGUS</v>
      </c>
      <c r="V20" s="10" t="str" cm="1">
        <f t="array" ref="V20">IF(INDEX(_xlfn.ANCHORARRAY($AE$2),ROW()-6)="","",_xlfn.TEXTJOIN(", ",TRUE,IF($AD$2:$AD$757=INDEX(_xlfn.ANCHORARRAY($AE$2),ROW()-6),$E$2:$E$757,"")))</f>
        <v>1302</v>
      </c>
      <c r="W20" s="15" cm="1">
        <f t="array" ref="W20">IF(INDEX(_xlfn.ANCHORARRAY($AE$2),ROW()-6)="","",SUMIFS($L$2:$L$757,$AD$2:$AD$757,INDEX(_xlfn.ANCHORARRAY($AE$2),ROW()-6)))</f>
        <v>301.78000000000003</v>
      </c>
      <c r="X20" s="16" t="str" cm="1">
        <f t="array" ref="X20">IF(INDEX(_xlfn.ANCHORARRAY($AE$2),ROW()-6)="","",IFERROR(_xlfn.XLOOKUP(INDEX(_xlfn.ANCHORARRAY($AE$2),ROW()-6),$AD$2:$AD$757,$G$2:$G$757),""))</f>
        <v>-</v>
      </c>
      <c r="Y20" s="16" cm="1">
        <f t="array" ref="Y20">IF(INDEX(_xlfn.ANCHORARRAY($AE$2),ROW()-6)="","",IFERROR(_xlfn.XLOOKUP(INDEX(_xlfn.ANCHORARRAY($AE$2),ROW()-6),$AD$2:$AD$757,$H$2:$H$757),""))</f>
        <v>47831</v>
      </c>
      <c r="Z20" s="15" cm="1">
        <f t="array" ref="Z20">IF(INDEX(_xlfn.ANCHORARRAY($AE$2),ROW()-6)="","",SUMIFS($N$2:$N$757,$AD$2:$AD$757,INDEX(_xlfn.ANCHORARRAY($AE$2),ROW()-6)))</f>
        <v>196.15700000000004</v>
      </c>
      <c r="AA20" s="17" cm="1">
        <f t="array" ref="AA20">IF(OR(INDEX(_xlfn.ANCHORARRAY($AE$2),ROW()-6)="",W20=0,LEFT(INDEX(_xlfn.ANCHORARRAY($AE$2),ROW()-6),1)="3",LEFT(INDEX(_xlfn.ANCHORARRAY($AE$2),ROW()-6),1)="4"),IF(INDEX(_xlfn.ANCHORARRAY($AE$2),ROW()-6)="","","-"),Z20/W20)</f>
        <v>0.65</v>
      </c>
      <c r="AD20" s="20" t="str">
        <f>IF((B20="")+(B20="Vacante")+(D20=""),"",IFERROR(MATCH(D20,{"Oficinas";"Locales";"Estacionamientos";"Bodegas"},0),5)&amp;"|"&amp;B20&amp;"|"&amp;TEXT(G20,"yyyymmdd")&amp;"|"&amp;TEXT(H20,"yyyymmdd"))</f>
        <v>1|AHK|19000100|20300228</v>
      </c>
      <c r="AE20" s="4" t="str">
        <v>1|REGUS|19000100|20290930</v>
      </c>
      <c r="AF20" s="4"/>
    </row>
    <row r="21" spans="1:32" x14ac:dyDescent="0.2">
      <c r="A21" s="5">
        <v>19</v>
      </c>
      <c r="B21" s="6" t="s">
        <v>186</v>
      </c>
      <c r="C21" s="6" t="s">
        <v>34</v>
      </c>
      <c r="D21" s="6" t="s">
        <v>6</v>
      </c>
      <c r="E21" s="5">
        <v>1901</v>
      </c>
      <c r="H21" s="9">
        <v>47687</v>
      </c>
      <c r="I21" s="6" t="s">
        <v>5</v>
      </c>
      <c r="L21" s="18">
        <v>435.96</v>
      </c>
      <c r="M21" s="19">
        <v>0.6</v>
      </c>
      <c r="N21" s="18">
        <v>261.57599999999996</v>
      </c>
      <c r="T21" s="4" t="str">
        <v>Oficinas</v>
      </c>
      <c r="U21" s="4" t="str">
        <v>SEBASTIAN FERRER ESCUELA SPA</v>
      </c>
      <c r="V21" s="10" t="str" cm="1">
        <f t="array" ref="V21">IF(INDEX(_xlfn.ANCHORARRAY($AE$2),ROW()-6)="","",_xlfn.TEXTJOIN(", ",TRUE,IF($AD$2:$AD$757=INDEX(_xlfn.ANCHORARRAY($AE$2),ROW()-6),$E$2:$E$757,"")))</f>
        <v>1201, 1202</v>
      </c>
      <c r="W21" s="15" cm="1">
        <f t="array" ref="W21">IF(INDEX(_xlfn.ANCHORARRAY($AE$2),ROW()-6)="","",SUMIFS($L$2:$L$757,$AD$2:$AD$757,INDEX(_xlfn.ANCHORARRAY($AE$2),ROW()-6)))</f>
        <v>679</v>
      </c>
      <c r="X21" s="16" t="str" cm="1">
        <f t="array" ref="X21">IF(INDEX(_xlfn.ANCHORARRAY($AE$2),ROW()-6)="","",IFERROR(_xlfn.XLOOKUP(INDEX(_xlfn.ANCHORARRAY($AE$2),ROW()-6),$AD$2:$AD$757,$G$2:$G$757),""))</f>
        <v>-</v>
      </c>
      <c r="Y21" s="16" cm="1">
        <f t="array" ref="Y21">IF(INDEX(_xlfn.ANCHORARRAY($AE$2),ROW()-6)="","",IFERROR(_xlfn.XLOOKUP(INDEX(_xlfn.ANCHORARRAY($AE$2),ROW()-6),$AD$2:$AD$757,$H$2:$H$757),""))</f>
        <v>46538</v>
      </c>
      <c r="Z21" s="15" cm="1">
        <f t="array" ref="Z21">IF(INDEX(_xlfn.ANCHORARRAY($AE$2),ROW()-6)="","",SUMIFS($N$2:$N$757,$AD$2:$AD$757,INDEX(_xlfn.ANCHORARRAY($AE$2),ROW()-6)))</f>
        <v>458.32500000000005</v>
      </c>
      <c r="AA21" s="17" cm="1">
        <f t="array" ref="AA21">IF(OR(INDEX(_xlfn.ANCHORARRAY($AE$2),ROW()-6)="",W21=0,LEFT(INDEX(_xlfn.ANCHORARRAY($AE$2),ROW()-6),1)="3",LEFT(INDEX(_xlfn.ANCHORARRAY($AE$2),ROW()-6),1)="4"),IF(INDEX(_xlfn.ANCHORARRAY($AE$2),ROW()-6)="","","-"),Z21/W21)</f>
        <v>0.67500000000000004</v>
      </c>
      <c r="AB21" s="1" t="s">
        <v>171</v>
      </c>
      <c r="AD21" s="20" t="str">
        <f>IF((B21="")+(B21="Vacante")+(D21=""),"",IFERROR(MATCH(D21,{"Oficinas";"Locales";"Estacionamientos";"Bodegas"},0),5)&amp;"|"&amp;B21&amp;"|"&amp;TEXT(G21,"yyyymmdd")&amp;"|"&amp;TEXT(H21,"yyyymmdd"))</f>
        <v>1|CONTOURGLOBAL|19000100|20300723</v>
      </c>
      <c r="AE21" s="4" t="str">
        <v>1|SEBASTIAN FERRER ESCUELA SPA|-|20300114</v>
      </c>
      <c r="AF21" s="4"/>
    </row>
    <row r="22" spans="1:32" x14ac:dyDescent="0.2">
      <c r="A22" s="5">
        <v>19</v>
      </c>
      <c r="B22" s="6" t="s">
        <v>186</v>
      </c>
      <c r="C22" s="6" t="s">
        <v>34</v>
      </c>
      <c r="D22" s="6" t="s">
        <v>6</v>
      </c>
      <c r="E22" s="5">
        <v>1902</v>
      </c>
      <c r="H22" s="9">
        <v>47687</v>
      </c>
      <c r="I22" s="6" t="s">
        <v>5</v>
      </c>
      <c r="L22" s="18">
        <v>318.8</v>
      </c>
      <c r="M22" s="19">
        <v>0.6</v>
      </c>
      <c r="N22" s="18">
        <v>191.28</v>
      </c>
      <c r="T22" s="4" t="str">
        <v>Oficinas</v>
      </c>
      <c r="U22" s="4" t="str">
        <v>SOURCING SPA</v>
      </c>
      <c r="V22" s="10" t="str" cm="1">
        <f t="array" ref="V22">IF(INDEX(_xlfn.ANCHORARRAY($AE$2),ROW()-6)="","",_xlfn.TEXTJOIN(", ",TRUE,IF($AD$2:$AD$757=INDEX(_xlfn.ANCHORARRAY($AE$2),ROW()-6),$E$2:$E$757,"")))</f>
        <v>1502</v>
      </c>
      <c r="W22" s="15" cm="1">
        <f t="array" ref="W22">IF(INDEX(_xlfn.ANCHORARRAY($AE$2),ROW()-6)="","",SUMIFS($L$2:$L$757,$AD$2:$AD$757,INDEX(_xlfn.ANCHORARRAY($AE$2),ROW()-6)))</f>
        <v>389.9</v>
      </c>
      <c r="X22" s="16" cm="1">
        <f t="array" ref="X22">IF(INDEX(_xlfn.ANCHORARRAY($AE$2),ROW()-6)="","",IFERROR(_xlfn.XLOOKUP(INDEX(_xlfn.ANCHORARRAY($AE$2),ROW()-6),$AD$2:$AD$757,$G$2:$G$757),""))</f>
        <v>46457</v>
      </c>
      <c r="Y22" s="16" cm="1">
        <f t="array" ref="Y22">IF(INDEX(_xlfn.ANCHORARRAY($AE$2),ROW()-6)="","",IFERROR(_xlfn.XLOOKUP(INDEX(_xlfn.ANCHORARRAY($AE$2),ROW()-6),$AD$2:$AD$757,$H$2:$H$757),""))</f>
        <v>47187</v>
      </c>
      <c r="Z22" s="15" cm="1">
        <f t="array" ref="Z22">IF(INDEX(_xlfn.ANCHORARRAY($AE$2),ROW()-6)="","",SUMIFS($N$2:$N$757,$AD$2:$AD$757,INDEX(_xlfn.ANCHORARRAY($AE$2),ROW()-6)))</f>
        <v>263.57240000000002</v>
      </c>
      <c r="AA22" s="17" cm="1">
        <f t="array" ref="AA22">IF(OR(INDEX(_xlfn.ANCHORARRAY($AE$2),ROW()-6)="",W22=0,LEFT(INDEX(_xlfn.ANCHORARRAY($AE$2),ROW()-6),1)="3",LEFT(INDEX(_xlfn.ANCHORARRAY($AE$2),ROW()-6),1)="4"),IF(INDEX(_xlfn.ANCHORARRAY($AE$2),ROW()-6)="","","-"),Z22/W22)</f>
        <v>0.67600000000000005</v>
      </c>
      <c r="AD22" s="20" t="str">
        <f>IF((B22="")+(B22="Vacante")+(D22=""),"",IFERROR(MATCH(D22,{"Oficinas";"Locales";"Estacionamientos";"Bodegas"},0),5)&amp;"|"&amp;B22&amp;"|"&amp;TEXT(G22,"yyyymmdd")&amp;"|"&amp;TEXT(H22,"yyyymmdd"))</f>
        <v>1|CONTOURGLOBAL|19000100|20300723</v>
      </c>
      <c r="AE22" s="4" t="str">
        <v>1|SOURCING SPA|-|20271231</v>
      </c>
      <c r="AF22" s="4"/>
    </row>
    <row r="23" spans="1:32" x14ac:dyDescent="0.2">
      <c r="A23" s="5">
        <v>18</v>
      </c>
      <c r="B23" s="22" t="s">
        <v>185</v>
      </c>
      <c r="C23" s="6" t="s">
        <v>35</v>
      </c>
      <c r="D23" s="6" t="s">
        <v>6</v>
      </c>
      <c r="E23" s="5">
        <v>1801</v>
      </c>
      <c r="F23" s="22"/>
      <c r="H23" s="9">
        <v>47238</v>
      </c>
      <c r="I23" s="22" t="s">
        <v>5</v>
      </c>
      <c r="L23" s="18">
        <v>435.29</v>
      </c>
      <c r="M23" s="19">
        <v>0.72500000000000009</v>
      </c>
      <c r="N23" s="18">
        <v>315.58525000000003</v>
      </c>
      <c r="T23" s="4" t="str">
        <v>Oficinas</v>
      </c>
      <c r="U23" s="4" t="str">
        <v>SPENCER STUART</v>
      </c>
      <c r="V23" s="10" t="str" cm="1">
        <f t="array" ref="V23">IF(INDEX(_xlfn.ANCHORARRAY($AE$2),ROW()-6)="","",_xlfn.TEXTJOIN(", ",TRUE,IF($AD$2:$AD$757=INDEX(_xlfn.ANCHORARRAY($AE$2),ROW()-6),$E$2:$E$757,"")))</f>
        <v>S-107, S-202</v>
      </c>
      <c r="W23" s="15" cm="1">
        <f t="array" ref="W23">IF(INDEX(_xlfn.ANCHORARRAY($AE$2),ROW()-6)="","",SUMIFS($L$2:$L$757,$AD$2:$AD$757,INDEX(_xlfn.ANCHORARRAY($AE$2),ROW()-6)))</f>
        <v>1340.98</v>
      </c>
      <c r="X23" s="16" t="str" cm="1">
        <f t="array" ref="X23">IF(INDEX(_xlfn.ANCHORARRAY($AE$2),ROW()-6)="","",IFERROR(_xlfn.XLOOKUP(INDEX(_xlfn.ANCHORARRAY($AE$2),ROW()-6),$AD$2:$AD$757,$G$2:$G$757),""))</f>
        <v>-</v>
      </c>
      <c r="Y23" s="16" cm="1">
        <f t="array" ref="Y23">IF(INDEX(_xlfn.ANCHORARRAY($AE$2),ROW()-6)="","",IFERROR(_xlfn.XLOOKUP(INDEX(_xlfn.ANCHORARRAY($AE$2),ROW()-6),$AD$2:$AD$757,$H$2:$H$757),""))</f>
        <v>47634</v>
      </c>
      <c r="Z23" s="15" cm="1">
        <f t="array" ref="Z23">IF(INDEX(_xlfn.ANCHORARRAY($AE$2),ROW()-6)="","",SUMIFS($N$2:$N$757,$AD$2:$AD$757,INDEX(_xlfn.ANCHORARRAY($AE$2),ROW()-6)))</f>
        <v>536.39200000000005</v>
      </c>
      <c r="AA23" s="17" cm="1">
        <f t="array" ref="AA23">IF(OR(INDEX(_xlfn.ANCHORARRAY($AE$2),ROW()-6)="",W23=0,LEFT(INDEX(_xlfn.ANCHORARRAY($AE$2),ROW()-6),1)="3",LEFT(INDEX(_xlfn.ANCHORARRAY($AE$2),ROW()-6),1)="4"),IF(INDEX(_xlfn.ANCHORARRAY($AE$2),ROW()-6)="","","-"),Z23/W23)</f>
        <v>0.4</v>
      </c>
      <c r="AD23" s="20" t="str">
        <f>IF((B23="")+(B23="Vacante")+(D23=""),"",IFERROR(MATCH(D23,{"Oficinas";"Locales";"Estacionamientos";"Bodegas"},0),5)&amp;"|"&amp;B23&amp;"|"&amp;TEXT(G23,"yyyymmdd")&amp;"|"&amp;TEXT(H23,"yyyymmdd"))</f>
        <v>1|BOEHRINGER |19000100|20290430</v>
      </c>
      <c r="AE23" s="4" t="str">
        <v>1|SPENCER STUART|20270415|20300415</v>
      </c>
      <c r="AF23" s="4"/>
    </row>
    <row r="24" spans="1:32" x14ac:dyDescent="0.2">
      <c r="A24" s="5">
        <v>18</v>
      </c>
      <c r="B24" s="22" t="s">
        <v>185</v>
      </c>
      <c r="C24" s="6" t="s">
        <v>35</v>
      </c>
      <c r="D24" s="6" t="s">
        <v>6</v>
      </c>
      <c r="E24" s="5">
        <v>1802</v>
      </c>
      <c r="F24" s="22"/>
      <c r="H24" s="9">
        <v>47238</v>
      </c>
      <c r="I24" s="22" t="s">
        <v>5</v>
      </c>
      <c r="L24" s="18">
        <v>319.02999999999997</v>
      </c>
      <c r="M24" s="19">
        <v>0.72499999999999998</v>
      </c>
      <c r="N24" s="18">
        <v>231.29674999999997</v>
      </c>
      <c r="T24" s="4" t="str">
        <v>Oficinas</v>
      </c>
      <c r="U24" s="4" t="str">
        <v>STELLANTIS</v>
      </c>
      <c r="V24" s="10" t="str" cm="1">
        <f t="array" ref="V24">IF(INDEX(_xlfn.ANCHORARRAY($AE$2),ROW()-6)="","",_xlfn.TEXTJOIN(", ",TRUE,IF($AD$2:$AD$757=INDEX(_xlfn.ANCHORARRAY($AE$2),ROW()-6),$E$2:$E$757,"")))</f>
        <v>1602</v>
      </c>
      <c r="W24" s="15" cm="1">
        <f t="array" ref="W24">IF(INDEX(_xlfn.ANCHORARRAY($AE$2),ROW()-6)="","",SUMIFS($L$2:$L$757,$AD$2:$AD$757,INDEX(_xlfn.ANCHORARRAY($AE$2),ROW()-6)))</f>
        <v>319.44</v>
      </c>
      <c r="X24" s="16" cm="1">
        <f t="array" ref="X24">IF(INDEX(_xlfn.ANCHORARRAY($AE$2),ROW()-6)="","",IFERROR(_xlfn.XLOOKUP(INDEX(_xlfn.ANCHORARRAY($AE$2),ROW()-6),$AD$2:$AD$757,$G$2:$G$757),""))</f>
        <v>0</v>
      </c>
      <c r="Y24" s="16" cm="1">
        <f t="array" ref="Y24">IF(INDEX(_xlfn.ANCHORARRAY($AE$2),ROW()-6)="","",IFERROR(_xlfn.XLOOKUP(INDEX(_xlfn.ANCHORARRAY($AE$2),ROW()-6),$AD$2:$AD$757,$H$2:$H$757),""))</f>
        <v>47087</v>
      </c>
      <c r="Z24" s="15" cm="1">
        <f t="array" ref="Z24">IF(INDEX(_xlfn.ANCHORARRAY($AE$2),ROW()-6)="","",SUMIFS($N$2:$N$757,$AD$2:$AD$757,INDEX(_xlfn.ANCHORARRAY($AE$2),ROW()-6)))</f>
        <v>207.636</v>
      </c>
      <c r="AA24" s="17" cm="1">
        <f t="array" ref="AA24">IF(OR(INDEX(_xlfn.ANCHORARRAY($AE$2),ROW()-6)="",W24=0,LEFT(INDEX(_xlfn.ANCHORARRAY($AE$2),ROW()-6),1)="3",LEFT(INDEX(_xlfn.ANCHORARRAY($AE$2),ROW()-6),1)="4"),IF(INDEX(_xlfn.ANCHORARRAY($AE$2),ROW()-6)="","","-"),Z24/W24)</f>
        <v>0.65</v>
      </c>
      <c r="AD24" s="20" t="str">
        <f>IF((B24="")+(B24="Vacante")+(D24=""),"",IFERROR(MATCH(D24,{"Oficinas";"Locales";"Estacionamientos";"Bodegas"},0),5)&amp;"|"&amp;B24&amp;"|"&amp;TEXT(G24,"yyyymmdd")&amp;"|"&amp;TEXT(H24,"yyyymmdd"))</f>
        <v>1|BOEHRINGER |19000100|20290430</v>
      </c>
      <c r="AE24" s="4" t="str">
        <v>1|STELLANTIS|19000100|20300214</v>
      </c>
      <c r="AF24" s="4"/>
    </row>
    <row r="25" spans="1:32" x14ac:dyDescent="0.2">
      <c r="A25" s="5">
        <v>17</v>
      </c>
      <c r="B25" s="22" t="s">
        <v>184</v>
      </c>
      <c r="C25" s="6" t="s">
        <v>36</v>
      </c>
      <c r="D25" s="6" t="s">
        <v>6</v>
      </c>
      <c r="E25" s="5" t="s">
        <v>37</v>
      </c>
      <c r="F25" s="22"/>
      <c r="H25" s="9">
        <v>46222</v>
      </c>
      <c r="I25" s="22" t="s">
        <v>5</v>
      </c>
      <c r="L25" s="18">
        <v>52.25</v>
      </c>
      <c r="M25" s="19">
        <v>0.69</v>
      </c>
      <c r="N25" s="18">
        <v>36.052499999999995</v>
      </c>
      <c r="T25" s="4" t="str">
        <v>Oficinas</v>
      </c>
      <c r="U25" s="4" t="str">
        <v>SUMITOMO</v>
      </c>
      <c r="V25" s="10" t="str" cm="1">
        <f t="array" ref="V25">IF(INDEX(_xlfn.ANCHORARRAY($AE$2),ROW()-6)="","",_xlfn.TEXTJOIN(", ",TRUE,IF($AD$2:$AD$757=INDEX(_xlfn.ANCHORARRAY($AE$2),ROW()-6),$E$2:$E$757,"")))</f>
        <v>2401, 2402, 2301, 2302</v>
      </c>
      <c r="W25" s="15" cm="1">
        <f t="array" ref="W25">IF(INDEX(_xlfn.ANCHORARRAY($AE$2),ROW()-6)="","",SUMIFS($L$2:$L$757,$AD$2:$AD$757,INDEX(_xlfn.ANCHORARRAY($AE$2),ROW()-6)))</f>
        <v>1238.8100000000002</v>
      </c>
      <c r="X25" s="16" cm="1">
        <f t="array" ref="X25">IF(INDEX(_xlfn.ANCHORARRAY($AE$2),ROW()-6)="","",IFERROR(_xlfn.XLOOKUP(INDEX(_xlfn.ANCHORARRAY($AE$2),ROW()-6),$AD$2:$AD$757,$G$2:$G$757),""))</f>
        <v>0</v>
      </c>
      <c r="Y25" s="16" cm="1">
        <f t="array" ref="Y25">IF(INDEX(_xlfn.ANCHORARRAY($AE$2),ROW()-6)="","",IFERROR(_xlfn.XLOOKUP(INDEX(_xlfn.ANCHORARRAY($AE$2),ROW()-6),$AD$2:$AD$757,$H$2:$H$757),""))</f>
        <v>47391</v>
      </c>
      <c r="Z25" s="15" cm="1">
        <f t="array" ref="Z25">IF(INDEX(_xlfn.ANCHORARRAY($AE$2),ROW()-6)="","",SUMIFS($N$2:$N$757,$AD$2:$AD$757,INDEX(_xlfn.ANCHORARRAY($AE$2),ROW()-6)))</f>
        <v>836.19675000000007</v>
      </c>
      <c r="AA25" s="17" cm="1">
        <f t="array" ref="AA25">IF(OR(INDEX(_xlfn.ANCHORARRAY($AE$2),ROW()-6)="",W25=0,LEFT(INDEX(_xlfn.ANCHORARRAY($AE$2),ROW()-6),1)="3",LEFT(INDEX(_xlfn.ANCHORARRAY($AE$2),ROW()-6),1)="4"),IF(INDEX(_xlfn.ANCHORARRAY($AE$2),ROW()-6)="","","-"),Z25/W25)</f>
        <v>0.67499999999999993</v>
      </c>
      <c r="AD25" s="20" t="str">
        <f>IF((B25="")+(B25="Vacante")+(D25=""),"",IFERROR(MATCH(D25,{"Oficinas";"Locales";"Estacionamientos";"Bodegas"},0),5)&amp;"|"&amp;B25&amp;"|"&amp;TEXT(G25,"yyyymmdd")&amp;"|"&amp;TEXT(H25,"yyyymmdd"))</f>
        <v>1|DEVON|19000100|20260719</v>
      </c>
      <c r="AE25" s="4" t="str">
        <v>1|SUMITOMO|19000100|20261231</v>
      </c>
      <c r="AF25" s="4"/>
    </row>
    <row r="26" spans="1:32" x14ac:dyDescent="0.2">
      <c r="A26" s="5">
        <v>17</v>
      </c>
      <c r="B26" s="6" t="s">
        <v>184</v>
      </c>
      <c r="C26" s="6" t="s">
        <v>36</v>
      </c>
      <c r="D26" s="6" t="s">
        <v>6</v>
      </c>
      <c r="E26" s="5" t="s">
        <v>38</v>
      </c>
      <c r="H26" s="9">
        <v>46222</v>
      </c>
      <c r="I26" s="6" t="s">
        <v>5</v>
      </c>
      <c r="L26" s="18">
        <v>110.13</v>
      </c>
      <c r="M26" s="19">
        <v>0.69</v>
      </c>
      <c r="N26" s="18">
        <v>75.989699999999985</v>
      </c>
      <c r="T26" s="4" t="str">
        <v>Oficinas</v>
      </c>
      <c r="U26" s="4" t="str">
        <v>SYMNETICS S.A.</v>
      </c>
      <c r="V26" s="10" t="str" cm="1">
        <f t="array" ref="V26">IF(INDEX(_xlfn.ANCHORARRAY($AE$2),ROW()-6)="","",_xlfn.TEXTJOIN(", ",TRUE,IF($AD$2:$AD$757=INDEX(_xlfn.ANCHORARRAY($AE$2),ROW()-6),$E$2:$E$757,"")))</f>
        <v>201</v>
      </c>
      <c r="W26" s="15" cm="1">
        <f t="array" ref="W26">IF(INDEX(_xlfn.ANCHORARRAY($AE$2),ROW()-6)="","",SUMIFS($L$2:$L$757,$AD$2:$AD$757,INDEX(_xlfn.ANCHORARRAY($AE$2),ROW()-6)))</f>
        <v>281.79000000000002</v>
      </c>
      <c r="X26" s="16" t="str" cm="1">
        <f t="array" ref="X26">IF(INDEX(_xlfn.ANCHORARRAY($AE$2),ROW()-6)="","",IFERROR(_xlfn.XLOOKUP(INDEX(_xlfn.ANCHORARRAY($AE$2),ROW()-6),$AD$2:$AD$757,$G$2:$G$757),""))</f>
        <v>-</v>
      </c>
      <c r="Y26" s="16" cm="1">
        <f t="array" ref="Y26">IF(INDEX(_xlfn.ANCHORARRAY($AE$2),ROW()-6)="","",IFERROR(_xlfn.XLOOKUP(INDEX(_xlfn.ANCHORARRAY($AE$2),ROW()-6),$AD$2:$AD$757,$H$2:$H$757),""))</f>
        <v>47497</v>
      </c>
      <c r="Z26" s="15" cm="1">
        <f t="array" ref="Z26">IF(INDEX(_xlfn.ANCHORARRAY($AE$2),ROW()-6)="","",SUMIFS($N$2:$N$757,$AD$2:$AD$757,INDEX(_xlfn.ANCHORARRAY($AE$2),ROW()-6)))</f>
        <v>152.16660000000002</v>
      </c>
      <c r="AA26" s="17" cm="1">
        <f t="array" ref="AA26">IF(OR(INDEX(_xlfn.ANCHORARRAY($AE$2),ROW()-6)="",W26=0,LEFT(INDEX(_xlfn.ANCHORARRAY($AE$2),ROW()-6),1)="3",LEFT(INDEX(_xlfn.ANCHORARRAY($AE$2),ROW()-6),1)="4"),IF(INDEX(_xlfn.ANCHORARRAY($AE$2),ROW()-6)="","","-"),Z26/W26)</f>
        <v>0.54</v>
      </c>
      <c r="AD26" s="20" t="str">
        <f>IF((B26="")+(B26="Vacante")+(D26=""),"",IFERROR(MATCH(D26,{"Oficinas";"Locales";"Estacionamientos";"Bodegas"},0),5)&amp;"|"&amp;B26&amp;"|"&amp;TEXT(G26,"yyyymmdd")&amp;"|"&amp;TEXT(H26,"yyyymmdd"))</f>
        <v>1|DEVON|19000100|20260719</v>
      </c>
      <c r="AE26" s="4" t="str">
        <v>1|SYMNETICS S.A.|19000100|20300623</v>
      </c>
      <c r="AF26" s="4"/>
    </row>
    <row r="27" spans="1:32" x14ac:dyDescent="0.2">
      <c r="A27" s="5">
        <v>17</v>
      </c>
      <c r="B27" s="6" t="s">
        <v>179</v>
      </c>
      <c r="C27" s="6" t="s">
        <v>39</v>
      </c>
      <c r="D27" s="6" t="s">
        <v>6</v>
      </c>
      <c r="E27" s="5" t="s">
        <v>40</v>
      </c>
      <c r="H27" s="9">
        <v>46701</v>
      </c>
      <c r="I27" s="6" t="s">
        <v>5</v>
      </c>
      <c r="L27" s="18">
        <v>273.13</v>
      </c>
      <c r="M27" s="19">
        <v>0.65</v>
      </c>
      <c r="N27" s="18">
        <v>177.53450000000001</v>
      </c>
      <c r="T27" s="4" t="str">
        <v>Oficinas</v>
      </c>
      <c r="U27" s="4" t="str">
        <v>TECNIMONT</v>
      </c>
      <c r="V27" s="10" t="str" cm="1">
        <f t="array" ref="V27">IF(INDEX(_xlfn.ANCHORARRAY($AE$2),ROW()-6)="","",_xlfn.TEXTJOIN(", ",TRUE,IF($AD$2:$AD$757=INDEX(_xlfn.ANCHORARRAY($AE$2),ROW()-6),$E$2:$E$757,"")))</f>
        <v>202, 202</v>
      </c>
      <c r="W27" s="15" cm="1">
        <f t="array" ref="W27">IF(INDEX(_xlfn.ANCHORARRAY($AE$2),ROW()-6)="","",SUMIFS($L$2:$L$757,$AD$2:$AD$757,INDEX(_xlfn.ANCHORARRAY($AE$2),ROW()-6)))</f>
        <v>452.61</v>
      </c>
      <c r="X27" s="16" t="str" cm="1">
        <f t="array" ref="X27">IF(INDEX(_xlfn.ANCHORARRAY($AE$2),ROW()-6)="","",IFERROR(_xlfn.XLOOKUP(INDEX(_xlfn.ANCHORARRAY($AE$2),ROW()-6),$AD$2:$AD$757,$G$2:$G$757),""))</f>
        <v>-</v>
      </c>
      <c r="Y27" s="16" cm="1">
        <f t="array" ref="Y27">IF(INDEX(_xlfn.ANCHORARRAY($AE$2),ROW()-6)="","",IFERROR(_xlfn.XLOOKUP(INDEX(_xlfn.ANCHORARRAY($AE$2),ROW()-6),$AD$2:$AD$757,$H$2:$H$757),""))</f>
        <v>46752</v>
      </c>
      <c r="Z27" s="15" cm="1">
        <f t="array" ref="Z27">IF(INDEX(_xlfn.ANCHORARRAY($AE$2),ROW()-6)="","",SUMIFS($N$2:$N$757,$AD$2:$AD$757,INDEX(_xlfn.ANCHORARRAY($AE$2),ROW()-6)))</f>
        <v>271.56599999999997</v>
      </c>
      <c r="AA27" s="17" cm="1">
        <f t="array" ref="AA27">IF(OR(INDEX(_xlfn.ANCHORARRAY($AE$2),ROW()-6)="",W27=0,LEFT(INDEX(_xlfn.ANCHORARRAY($AE$2),ROW()-6),1)="3",LEFT(INDEX(_xlfn.ANCHORARRAY($AE$2),ROW()-6),1)="4"),IF(INDEX(_xlfn.ANCHORARRAY($AE$2),ROW()-6)="","","-"),Z27/W27)</f>
        <v>0.6</v>
      </c>
      <c r="AD27" s="20" t="str">
        <f>IF((B27="")+(B27="Vacante")+(D27=""),"",IFERROR(MATCH(D27,{"Oficinas";"Locales";"Estacionamientos";"Bodegas"},0),5)&amp;"|"&amp;B27&amp;"|"&amp;TEXT(G27,"yyyymmdd")&amp;"|"&amp;TEXT(H27,"yyyymmdd"))</f>
        <v>1|GLOBALFLEX|19000100|20271110</v>
      </c>
      <c r="AE27" s="4" t="str">
        <v>1|TECNIMONT|20270515|20300114</v>
      </c>
      <c r="AF27" s="4"/>
    </row>
    <row r="28" spans="1:32" x14ac:dyDescent="0.2">
      <c r="A28" s="5">
        <v>17</v>
      </c>
      <c r="B28" s="22" t="s">
        <v>184</v>
      </c>
      <c r="C28" s="6" t="s">
        <v>36</v>
      </c>
      <c r="D28" s="6" t="s">
        <v>6</v>
      </c>
      <c r="E28" s="5">
        <v>1702</v>
      </c>
      <c r="F28" s="22"/>
      <c r="H28" s="9">
        <v>46222</v>
      </c>
      <c r="I28" s="22" t="s">
        <v>5</v>
      </c>
      <c r="L28" s="18">
        <v>319.25</v>
      </c>
      <c r="M28" s="19">
        <v>0.69</v>
      </c>
      <c r="N28" s="18">
        <v>220.28249999999997</v>
      </c>
      <c r="T28" s="4" t="str">
        <v>Oficinas</v>
      </c>
      <c r="U28" s="4" t="str">
        <v>TURKISH AIRLINES</v>
      </c>
      <c r="V28" s="10" t="str" cm="1">
        <f t="array" ref="V28">IF(INDEX(_xlfn.ANCHORARRAY($AE$2),ROW()-6)="","",_xlfn.TEXTJOIN(", ",TRUE,IF($AD$2:$AD$757=INDEX(_xlfn.ANCHORARRAY($AE$2),ROW()-6),$E$2:$E$757,"")))</f>
        <v>2201 B, 2202</v>
      </c>
      <c r="W28" s="15" cm="1">
        <f t="array" ref="W28">IF(INDEX(_xlfn.ANCHORARRAY($AE$2),ROW()-6)="","",SUMIFS($L$2:$L$757,$AD$2:$AD$757,INDEX(_xlfn.ANCHORARRAY($AE$2),ROW()-6)))</f>
        <v>448.27</v>
      </c>
      <c r="X28" s="16" cm="1">
        <f t="array" ref="X28">IF(INDEX(_xlfn.ANCHORARRAY($AE$2),ROW()-6)="","",IFERROR(_xlfn.XLOOKUP(INDEX(_xlfn.ANCHORARRAY($AE$2),ROW()-6),$AD$2:$AD$757,$G$2:$G$757),""))</f>
        <v>46492</v>
      </c>
      <c r="Y28" s="16" cm="1">
        <f t="array" ref="Y28">IF(INDEX(_xlfn.ANCHORARRAY($AE$2),ROW()-6)="","",IFERROR(_xlfn.XLOOKUP(INDEX(_xlfn.ANCHORARRAY($AE$2),ROW()-6),$AD$2:$AD$757,$H$2:$H$757),""))</f>
        <v>47588</v>
      </c>
      <c r="Z28" s="15" cm="1">
        <f t="array" ref="Z28">IF(INDEX(_xlfn.ANCHORARRAY($AE$2),ROW()-6)="","",SUMIFS($N$2:$N$757,$AD$2:$AD$757,INDEX(_xlfn.ANCHORARRAY($AE$2),ROW()-6)))</f>
        <v>313.78899999999999</v>
      </c>
      <c r="AA28" s="17" cm="1">
        <f t="array" ref="AA28">IF(OR(INDEX(_xlfn.ANCHORARRAY($AE$2),ROW()-6)="",W28=0,LEFT(INDEX(_xlfn.ANCHORARRAY($AE$2),ROW()-6),1)="3",LEFT(INDEX(_xlfn.ANCHORARRAY($AE$2),ROW()-6),1)="4"),IF(INDEX(_xlfn.ANCHORARRAY($AE$2),ROW()-6)="","","-"),Z28/W28)</f>
        <v>0.7</v>
      </c>
      <c r="AD28" s="20" t="str">
        <f>IF((B28="")+(B28="Vacante")+(D28=""),"",IFERROR(MATCH(D28,{"Oficinas";"Locales";"Estacionamientos";"Bodegas"},0),5)&amp;"|"&amp;B28&amp;"|"&amp;TEXT(G28,"yyyymmdd")&amp;"|"&amp;TEXT(H28,"yyyymmdd"))</f>
        <v>1|DEVON|19000100|20260719</v>
      </c>
      <c r="AE28" s="4" t="str">
        <v>1|TURKISH AIRLINES|20290523|June 22, 2031</v>
      </c>
      <c r="AF28" s="4"/>
    </row>
    <row r="29" spans="1:32" x14ac:dyDescent="0.2">
      <c r="A29" s="5">
        <v>16</v>
      </c>
      <c r="B29" s="22" t="s">
        <v>182</v>
      </c>
      <c r="C29" s="6" t="s">
        <v>41</v>
      </c>
      <c r="D29" s="6" t="s">
        <v>6</v>
      </c>
      <c r="E29" s="5">
        <v>1601</v>
      </c>
      <c r="F29" s="22"/>
      <c r="H29" s="9">
        <v>47238</v>
      </c>
      <c r="I29" s="22" t="s">
        <v>5</v>
      </c>
      <c r="L29" s="18">
        <v>435.70000000000005</v>
      </c>
      <c r="M29" s="19">
        <v>0</v>
      </c>
      <c r="N29" s="18">
        <v>0</v>
      </c>
      <c r="T29" s="4" t="str">
        <v>Oficinas</v>
      </c>
      <c r="U29" s="4" t="str">
        <v>UKA CHILE</v>
      </c>
      <c r="V29" s="10" t="str" cm="1">
        <f t="array" ref="V29">IF(INDEX(_xlfn.ANCHORARRAY($AE$2),ROW()-6)="","",_xlfn.TEXTJOIN(", ",TRUE,IF($AD$2:$AD$757=INDEX(_xlfn.ANCHORARRAY($AE$2),ROW()-6),$E$2:$E$757,"")))</f>
        <v>2601, 2602, 2502</v>
      </c>
      <c r="W29" s="15" cm="1">
        <f t="array" ref="W29">IF(INDEX(_xlfn.ANCHORARRAY($AE$2),ROW()-6)="","",SUMIFS($L$2:$L$757,$AD$2:$AD$757,INDEX(_xlfn.ANCHORARRAY($AE$2),ROW()-6)))</f>
        <v>916.09999999999991</v>
      </c>
      <c r="X29" s="16" cm="1">
        <f t="array" ref="X29">IF(INDEX(_xlfn.ANCHORARRAY($AE$2),ROW()-6)="","",IFERROR(_xlfn.XLOOKUP(INDEX(_xlfn.ANCHORARRAY($AE$2),ROW()-6),$AD$2:$AD$757,$G$2:$G$757),""))</f>
        <v>0</v>
      </c>
      <c r="Y29" s="16" cm="1">
        <f t="array" ref="Y29">IF(INDEX(_xlfn.ANCHORARRAY($AE$2),ROW()-6)="","",IFERROR(_xlfn.XLOOKUP(INDEX(_xlfn.ANCHORARRAY($AE$2),ROW()-6),$AD$2:$AD$757,$H$2:$H$757),""))</f>
        <v>47528</v>
      </c>
      <c r="Z29" s="15" cm="1">
        <f t="array" ref="Z29">IF(INDEX(_xlfn.ANCHORARRAY($AE$2),ROW()-6)="","",SUMIFS($N$2:$N$757,$AD$2:$AD$757,INDEX(_xlfn.ANCHORARRAY($AE$2),ROW()-6)))</f>
        <v>551.99605500000007</v>
      </c>
      <c r="AA29" s="17" cm="1">
        <f t="array" ref="AA29">IF(OR(INDEX(_xlfn.ANCHORARRAY($AE$2),ROW()-6)="",W29=0,LEFT(INDEX(_xlfn.ANCHORARRAY($AE$2),ROW()-6),1)="3",LEFT(INDEX(_xlfn.ANCHORARRAY($AE$2),ROW()-6),1)="4"),IF(INDEX(_xlfn.ANCHORARRAY($AE$2),ROW()-6)="","","-"),Z29/W29)</f>
        <v>0.60255000000000014</v>
      </c>
      <c r="AD29" s="20" t="str">
        <f>IF((B29="")+(B29="Vacante")+(D29=""),"",IFERROR(MATCH(D29,{"Oficinas";"Locales";"Estacionamientos";"Bodegas"},0),5)&amp;"|"&amp;B29&amp;"|"&amp;TEXT(G29,"yyyymmdd")&amp;"|"&amp;TEXT(H29,"yyyymmdd"))</f>
        <v>1|HITHIUM|19000100|20290430</v>
      </c>
      <c r="AE29" s="4" t="str">
        <v>1|UKA CHILE|-|20260430</v>
      </c>
      <c r="AF29" s="4"/>
    </row>
    <row r="30" spans="1:32" x14ac:dyDescent="0.2">
      <c r="A30" s="5">
        <v>16</v>
      </c>
      <c r="B30" s="22" t="s">
        <v>183</v>
      </c>
      <c r="C30" s="6" t="s">
        <v>42</v>
      </c>
      <c r="D30" s="6" t="s">
        <v>6</v>
      </c>
      <c r="E30" s="5">
        <v>1602</v>
      </c>
      <c r="F30" s="22"/>
      <c r="H30" s="9">
        <v>47087</v>
      </c>
      <c r="I30" s="22" t="s">
        <v>5</v>
      </c>
      <c r="L30" s="18">
        <v>319.44</v>
      </c>
      <c r="M30" s="19">
        <v>0.65</v>
      </c>
      <c r="N30" s="18">
        <v>207.636</v>
      </c>
      <c r="T30" s="4" t="str">
        <v>Locales</v>
      </c>
      <c r="U30" s="4" t="str">
        <v>BANCO SANTANDER</v>
      </c>
      <c r="V30" s="10" t="str" cm="1">
        <f t="array" ref="V30">IF(INDEX(_xlfn.ANCHORARRAY($AE$2),ROW()-6)="","",_xlfn.TEXTJOIN(", ",TRUE,IF($AD$2:$AD$757=INDEX(_xlfn.ANCHORARRAY($AE$2),ROW()-6),$E$2:$E$757,"")))</f>
        <v>2102</v>
      </c>
      <c r="W30" s="15" cm="1">
        <f t="array" ref="W30">IF(INDEX(_xlfn.ANCHORARRAY($AE$2),ROW()-6)="","",SUMIFS($L$2:$L$757,$AD$2:$AD$757,INDEX(_xlfn.ANCHORARRAY($AE$2),ROW()-6)))</f>
        <v>332.78</v>
      </c>
      <c r="X30" s="16" cm="1">
        <f t="array" ref="X30">IF(INDEX(_xlfn.ANCHORARRAY($AE$2),ROW()-6)="","",IFERROR(_xlfn.XLOOKUP(INDEX(_xlfn.ANCHORARRAY($AE$2),ROW()-6),$AD$2:$AD$757,$G$2:$G$757),""))</f>
        <v>0</v>
      </c>
      <c r="Y30" s="16" cm="1">
        <f t="array" ref="Y30">IF(INDEX(_xlfn.ANCHORARRAY($AE$2),ROW()-6)="","",IFERROR(_xlfn.XLOOKUP(INDEX(_xlfn.ANCHORARRAY($AE$2),ROW()-6),$AD$2:$AD$757,$H$2:$H$757),""))</f>
        <v>46387</v>
      </c>
      <c r="Z30" s="15" cm="1">
        <f t="array" ref="Z30">IF(INDEX(_xlfn.ANCHORARRAY($AE$2),ROW()-6)="","",SUMIFS($N$2:$N$757,$AD$2:$AD$757,INDEX(_xlfn.ANCHORARRAY($AE$2),ROW()-6)))</f>
        <v>246.25719999999998</v>
      </c>
      <c r="AA30" s="17" cm="1">
        <f t="array" ref="AA30">IF(OR(INDEX(_xlfn.ANCHORARRAY($AE$2),ROW()-6)="",W30=0,LEFT(INDEX(_xlfn.ANCHORARRAY($AE$2),ROW()-6),1)="3",LEFT(INDEX(_xlfn.ANCHORARRAY($AE$2),ROW()-6),1)="4"),IF(INDEX(_xlfn.ANCHORARRAY($AE$2),ROW()-6)="","","-"),Z30/W30)</f>
        <v>0.74</v>
      </c>
      <c r="AD30" s="20" t="str">
        <f>IF((B30="")+(B30="Vacante")+(D30=""),"",IFERROR(MATCH(D30,{"Oficinas";"Locales";"Estacionamientos";"Bodegas"},0),5)&amp;"|"&amp;B30&amp;"|"&amp;TEXT(G30,"yyyymmdd")&amp;"|"&amp;TEXT(H30,"yyyymmdd"))</f>
        <v>1|RED ELECTRICA |19000100|20281130</v>
      </c>
      <c r="AE30" s="4" t="str">
        <v>2|BANCO SANTANDER|20260919|20311219</v>
      </c>
      <c r="AF30" s="4"/>
    </row>
    <row r="31" spans="1:32" x14ac:dyDescent="0.2">
      <c r="A31" s="5">
        <v>15</v>
      </c>
      <c r="B31" s="22" t="s">
        <v>180</v>
      </c>
      <c r="C31" s="6" t="s">
        <v>43</v>
      </c>
      <c r="D31" s="6" t="s">
        <v>6</v>
      </c>
      <c r="E31" s="5">
        <v>1501</v>
      </c>
      <c r="F31" s="22"/>
      <c r="H31" s="9">
        <v>46996</v>
      </c>
      <c r="I31" s="22" t="s">
        <v>5</v>
      </c>
      <c r="L31" s="18">
        <v>365.59</v>
      </c>
      <c r="M31" s="19">
        <v>0.62198100000000001</v>
      </c>
      <c r="N31" s="18">
        <v>227.39003378999999</v>
      </c>
      <c r="T31" s="4" t="str">
        <v>Locales</v>
      </c>
      <c r="U31" s="4" t="str">
        <v>BIORITMO</v>
      </c>
      <c r="V31" s="10" t="str" cm="1">
        <f t="array" ref="V31">IF(INDEX(_xlfn.ANCHORARRAY($AE$2),ROW()-6)="","",_xlfn.TEXTJOIN(", ",TRUE,IF($AD$2:$AD$757=INDEX(_xlfn.ANCHORARRAY($AE$2),ROW()-6),$E$2:$E$757,"")))</f>
        <v>2501</v>
      </c>
      <c r="W31" s="15" cm="1">
        <f t="array" ref="W31">IF(INDEX(_xlfn.ANCHORARRAY($AE$2),ROW()-6)="","",SUMIFS($L$2:$L$757,$AD$2:$AD$757,INDEX(_xlfn.ANCHORARRAY($AE$2),ROW()-6)))</f>
        <v>319.59000000000003</v>
      </c>
      <c r="X31" s="16" cm="1">
        <f t="array" ref="X31">IF(INDEX(_xlfn.ANCHORARRAY($AE$2),ROW()-6)="","",IFERROR(_xlfn.XLOOKUP(INDEX(_xlfn.ANCHORARRAY($AE$2),ROW()-6),$AD$2:$AD$757,$G$2:$G$757),""))</f>
        <v>0</v>
      </c>
      <c r="Y31" s="16" cm="1">
        <f t="array" ref="Y31">IF(INDEX(_xlfn.ANCHORARRAY($AE$2),ROW()-6)="","",IFERROR(_xlfn.XLOOKUP(INDEX(_xlfn.ANCHORARRAY($AE$2),ROW()-6),$AD$2:$AD$757,$H$2:$H$757),""))</f>
        <v>47657</v>
      </c>
      <c r="Z31" s="15" cm="1">
        <f t="array" ref="Z31">IF(INDEX(_xlfn.ANCHORARRAY($AE$2),ROW()-6)="","",SUMIFS($N$2:$N$757,$AD$2:$AD$757,INDEX(_xlfn.ANCHORARRAY($AE$2),ROW()-6)))</f>
        <v>198.14580000000001</v>
      </c>
      <c r="AA31" s="17" cm="1">
        <f t="array" ref="AA31">IF(OR(INDEX(_xlfn.ANCHORARRAY($AE$2),ROW()-6)="",W31=0,LEFT(INDEX(_xlfn.ANCHORARRAY($AE$2),ROW()-6),1)="3",LEFT(INDEX(_xlfn.ANCHORARRAY($AE$2),ROW()-6),1)="4"),IF(INDEX(_xlfn.ANCHORARRAY($AE$2),ROW()-6)="","","-"),Z31/W31)</f>
        <v>0.62</v>
      </c>
      <c r="AB31" s="4"/>
      <c r="AC31" s="4"/>
      <c r="AD31" s="20" t="str">
        <f>IF((B31="")+(B31="Vacante")+(D31=""),"",IFERROR(MATCH(D31,{"Oficinas";"Locales";"Estacionamientos";"Bodegas"},0),5)&amp;"|"&amp;B31&amp;"|"&amp;TEXT(G31,"yyyymmdd")&amp;"|"&amp;TEXT(H31,"yyyymmdd"))</f>
        <v>1|KAUFMANN|19000100|20280831</v>
      </c>
      <c r="AE31" s="4" t="str">
        <v>2|BIORITMO|-|20400630</v>
      </c>
      <c r="AF31" s="4"/>
    </row>
    <row r="32" spans="1:32" x14ac:dyDescent="0.2">
      <c r="A32" s="5">
        <v>15</v>
      </c>
      <c r="B32" s="22" t="s">
        <v>181</v>
      </c>
      <c r="C32" s="6" t="s">
        <v>44</v>
      </c>
      <c r="D32" s="6" t="s">
        <v>6</v>
      </c>
      <c r="E32" s="5">
        <v>1502</v>
      </c>
      <c r="F32" s="22"/>
      <c r="G32" s="9">
        <v>46457</v>
      </c>
      <c r="H32" s="9">
        <v>47187</v>
      </c>
      <c r="I32" s="22" t="s">
        <v>5</v>
      </c>
      <c r="L32" s="18">
        <v>389.9</v>
      </c>
      <c r="M32" s="19">
        <v>0.67600000000000005</v>
      </c>
      <c r="N32" s="18">
        <v>263.57240000000002</v>
      </c>
      <c r="T32" s="4" t="str">
        <v>Locales</v>
      </c>
      <c r="U32" s="4" t="str">
        <v>BROOKS BROTHERS</v>
      </c>
      <c r="V32" s="10" t="str" cm="1">
        <f t="array" ref="V32">IF(INDEX(_xlfn.ANCHORARRAY($AE$2),ROW()-6)="","",_xlfn.TEXTJOIN(", ",TRUE,IF($AD$2:$AD$757=INDEX(_xlfn.ANCHORARRAY($AE$2),ROW()-6),$E$2:$E$757,"")))</f>
        <v>2702</v>
      </c>
      <c r="W32" s="15" cm="1">
        <f t="array" ref="W32">IF(INDEX(_xlfn.ANCHORARRAY($AE$2),ROW()-6)="","",SUMIFS($L$2:$L$757,$AD$2:$AD$757,INDEX(_xlfn.ANCHORARRAY($AE$2),ROW()-6)))</f>
        <v>297.75</v>
      </c>
      <c r="X32" s="16" cm="1">
        <f t="array" ref="X32">IF(INDEX(_xlfn.ANCHORARRAY($AE$2),ROW()-6)="","",IFERROR(_xlfn.XLOOKUP(INDEX(_xlfn.ANCHORARRAY($AE$2),ROW()-6),$AD$2:$AD$757,$G$2:$G$757),""))</f>
        <v>46522</v>
      </c>
      <c r="Y32" s="16" cm="1">
        <f t="array" ref="Y32">IF(INDEX(_xlfn.ANCHORARRAY($AE$2),ROW()-6)="","",IFERROR(_xlfn.XLOOKUP(INDEX(_xlfn.ANCHORARRAY($AE$2),ROW()-6),$AD$2:$AD$757,$H$2:$H$757),""))</f>
        <v>47497</v>
      </c>
      <c r="Z32" s="15" cm="1">
        <f t="array" ref="Z32">IF(INDEX(_xlfn.ANCHORARRAY($AE$2),ROW()-6)="","",SUMIFS($N$2:$N$757,$AD$2:$AD$757,INDEX(_xlfn.ANCHORARRAY($AE$2),ROW()-6)))</f>
        <v>178.65</v>
      </c>
      <c r="AA32" s="17" cm="1">
        <f t="array" ref="AA32">IF(OR(INDEX(_xlfn.ANCHORARRAY($AE$2),ROW()-6)="",W32=0,LEFT(INDEX(_xlfn.ANCHORARRAY($AE$2),ROW()-6),1)="3",LEFT(INDEX(_xlfn.ANCHORARRAY($AE$2),ROW()-6),1)="4"),IF(INDEX(_xlfn.ANCHORARRAY($AE$2),ROW()-6)="","","-"),Z32/W32)</f>
        <v>0.6</v>
      </c>
      <c r="AB32" s="4"/>
      <c r="AC32" s="4"/>
      <c r="AD32" s="20" t="str">
        <f>IF((B32="")+(B32="Vacante")+(D32=""),"",IFERROR(MATCH(D32,{"Oficinas";"Locales";"Estacionamientos";"Bodegas"},0),5)&amp;"|"&amp;B32&amp;"|"&amp;TEXT(G32,"yyyymmdd")&amp;"|"&amp;TEXT(H32,"yyyymmdd"))</f>
        <v>1|PRICE FORBES |20270311|20290310</v>
      </c>
      <c r="AE32" s="4" t="str">
        <v>2|BROOKS BROTHERS|-|20280731</v>
      </c>
      <c r="AF32" s="4"/>
    </row>
    <row r="33" spans="1:32" x14ac:dyDescent="0.2">
      <c r="A33" s="5">
        <v>14</v>
      </c>
      <c r="B33" s="22" t="s">
        <v>179</v>
      </c>
      <c r="C33" s="6" t="s">
        <v>39</v>
      </c>
      <c r="D33" s="6" t="s">
        <v>6</v>
      </c>
      <c r="E33" s="5">
        <v>1401</v>
      </c>
      <c r="F33" s="22"/>
      <c r="G33" s="9" t="s">
        <v>9</v>
      </c>
      <c r="H33" s="9">
        <v>46701</v>
      </c>
      <c r="I33" s="22" t="s">
        <v>5</v>
      </c>
      <c r="L33" s="18">
        <v>435.72</v>
      </c>
      <c r="M33" s="19">
        <v>0.62</v>
      </c>
      <c r="N33" s="18">
        <v>270.14640000000003</v>
      </c>
      <c r="T33" s="4" t="str">
        <v>Locales</v>
      </c>
      <c r="U33" s="4" t="str">
        <v>CASA DEL HABANO</v>
      </c>
      <c r="V33" s="10" t="str" cm="1">
        <f t="array" ref="V33">IF(INDEX(_xlfn.ANCHORARRAY($AE$2),ROW()-6)="","",_xlfn.TEXTJOIN(", ",TRUE,IF($AD$2:$AD$757=INDEX(_xlfn.ANCHORARRAY($AE$2),ROW()-6),$E$2:$E$757,"")))</f>
        <v>203</v>
      </c>
      <c r="W33" s="15" cm="1">
        <f t="array" ref="W33">IF(INDEX(_xlfn.ANCHORARRAY($AE$2),ROW()-6)="","",SUMIFS($L$2:$L$757,$AD$2:$AD$757,INDEX(_xlfn.ANCHORARRAY($AE$2),ROW()-6)))</f>
        <v>263</v>
      </c>
      <c r="X33" s="16" cm="1">
        <f t="array" ref="X33">IF(INDEX(_xlfn.ANCHORARRAY($AE$2),ROW()-6)="","",IFERROR(_xlfn.XLOOKUP(INDEX(_xlfn.ANCHORARRAY($AE$2),ROW()-6),$AD$2:$AD$757,$G$2:$G$757),""))</f>
        <v>47261</v>
      </c>
      <c r="Y33" s="16" t="str" cm="1">
        <f t="array" ref="Y33">IF(INDEX(_xlfn.ANCHORARRAY($AE$2),ROW()-6)="","",IFERROR(_xlfn.XLOOKUP(INDEX(_xlfn.ANCHORARRAY($AE$2),ROW()-6),$AD$2:$AD$757,$H$2:$H$757),""))</f>
        <v>June 22, 2031</v>
      </c>
      <c r="Z33" s="15" cm="1">
        <f t="array" ref="Z33">IF(INDEX(_xlfn.ANCHORARRAY($AE$2),ROW()-6)="","",SUMIFS($N$2:$N$757,$AD$2:$AD$757,INDEX(_xlfn.ANCHORARRAY($AE$2),ROW()-6)))</f>
        <v>0</v>
      </c>
      <c r="AA33" s="17" cm="1">
        <f t="array" ref="AA33">IF(OR(INDEX(_xlfn.ANCHORARRAY($AE$2),ROW()-6)="",W33=0,LEFT(INDEX(_xlfn.ANCHORARRAY($AE$2),ROW()-6),1)="3",LEFT(INDEX(_xlfn.ANCHORARRAY($AE$2),ROW()-6),1)="4"),IF(INDEX(_xlfn.ANCHORARRAY($AE$2),ROW()-6)="","","-"),Z33/W33)</f>
        <v>0</v>
      </c>
      <c r="AB33" s="4"/>
      <c r="AC33" s="4"/>
      <c r="AD33" s="20" t="str">
        <f>IF((B33="")+(B33="Vacante")+(D33=""),"",IFERROR(MATCH(D33,{"Oficinas";"Locales";"Estacionamientos";"Bodegas"},0),5)&amp;"|"&amp;B33&amp;"|"&amp;TEXT(G33,"yyyymmdd")&amp;"|"&amp;TEXT(H33,"yyyymmdd"))</f>
        <v>1|GLOBALFLEX|-|20271110</v>
      </c>
      <c r="AE33" s="4" t="str">
        <v>2|CASA DEL HABANO|-|20281231</v>
      </c>
      <c r="AF33" s="4"/>
    </row>
    <row r="34" spans="1:32" x14ac:dyDescent="0.2">
      <c r="A34" s="5">
        <v>14</v>
      </c>
      <c r="B34" s="22" t="s">
        <v>179</v>
      </c>
      <c r="C34" s="6" t="s">
        <v>39</v>
      </c>
      <c r="D34" s="6" t="s">
        <v>6</v>
      </c>
      <c r="E34" s="5">
        <v>1402</v>
      </c>
      <c r="F34" s="22"/>
      <c r="G34" s="9" t="s">
        <v>9</v>
      </c>
      <c r="H34" s="9">
        <v>46701</v>
      </c>
      <c r="I34" s="22" t="s">
        <v>5</v>
      </c>
      <c r="L34" s="18">
        <v>319.75</v>
      </c>
      <c r="M34" s="19">
        <v>0.62</v>
      </c>
      <c r="N34" s="18">
        <v>198.245</v>
      </c>
      <c r="T34" s="4" t="str">
        <v>Locales</v>
      </c>
      <c r="U34" s="4" t="str">
        <v>EAGLE CLUB</v>
      </c>
      <c r="V34" s="10" t="str" cm="1">
        <f t="array" ref="V34">IF(INDEX(_xlfn.ANCHORARRAY($AE$2),ROW()-6)="","",_xlfn.TEXTJOIN(", ",TRUE,IF($AD$2:$AD$757=INDEX(_xlfn.ANCHORARRAY($AE$2),ROW()-6),$E$2:$E$757,"")))</f>
        <v>1301</v>
      </c>
      <c r="W34" s="15" cm="1">
        <f t="array" ref="W34">IF(INDEX(_xlfn.ANCHORARRAY($AE$2),ROW()-6)="","",SUMIFS($L$2:$L$757,$AD$2:$AD$757,INDEX(_xlfn.ANCHORARRAY($AE$2),ROW()-6)))</f>
        <v>377.05</v>
      </c>
      <c r="X34" s="16" t="str" cm="1">
        <f t="array" ref="X34">IF(INDEX(_xlfn.ANCHORARRAY($AE$2),ROW()-6)="","",IFERROR(_xlfn.XLOOKUP(INDEX(_xlfn.ANCHORARRAY($AE$2),ROW()-6),$AD$2:$AD$757,$G$2:$G$757),""))</f>
        <v>-</v>
      </c>
      <c r="Y34" s="16" cm="1">
        <f t="array" ref="Y34">IF(INDEX(_xlfn.ANCHORARRAY($AE$2),ROW()-6)="","",IFERROR(_xlfn.XLOOKUP(INDEX(_xlfn.ANCHORARRAY($AE$2),ROW()-6),$AD$2:$AD$757,$H$2:$H$757),""))</f>
        <v>46142</v>
      </c>
      <c r="Z34" s="15" cm="1">
        <f t="array" ref="Z34">IF(INDEX(_xlfn.ANCHORARRAY($AE$2),ROW()-6)="","",SUMIFS($N$2:$N$757,$AD$2:$AD$757,INDEX(_xlfn.ANCHORARRAY($AE$2),ROW()-6)))</f>
        <v>245.08250000000001</v>
      </c>
      <c r="AA34" s="17" cm="1">
        <f t="array" ref="AA34">IF(OR(INDEX(_xlfn.ANCHORARRAY($AE$2),ROW()-6)="",W34=0,LEFT(INDEX(_xlfn.ANCHORARRAY($AE$2),ROW()-6),1)="3",LEFT(INDEX(_xlfn.ANCHORARRAY($AE$2),ROW()-6),1)="4"),IF(INDEX(_xlfn.ANCHORARRAY($AE$2),ROW()-6)="","","-"),Z34/W34)</f>
        <v>0.65</v>
      </c>
      <c r="AB34" s="4"/>
      <c r="AC34" s="4"/>
      <c r="AD34" s="20" t="str">
        <f>IF((B34="")+(B34="Vacante")+(D34=""),"",IFERROR(MATCH(D34,{"Oficinas";"Locales";"Estacionamientos";"Bodegas"},0),5)&amp;"|"&amp;B34&amp;"|"&amp;TEXT(G34,"yyyymmdd")&amp;"|"&amp;TEXT(H34,"yyyymmdd"))</f>
        <v>1|GLOBALFLEX|-|20271110</v>
      </c>
      <c r="AE34" s="4" t="str">
        <v>2|EAGLE CLUB|-|May 31, 2030</v>
      </c>
      <c r="AF34" s="4"/>
    </row>
    <row r="35" spans="1:32" x14ac:dyDescent="0.2">
      <c r="A35" s="5">
        <v>13</v>
      </c>
      <c r="B35" s="22" t="s">
        <v>177</v>
      </c>
      <c r="C35" s="6" t="s">
        <v>45</v>
      </c>
      <c r="D35" s="6" t="s">
        <v>6</v>
      </c>
      <c r="E35" s="5">
        <v>1301</v>
      </c>
      <c r="F35" s="22"/>
      <c r="G35" s="9" t="s">
        <v>9</v>
      </c>
      <c r="H35" s="9">
        <v>46142</v>
      </c>
      <c r="I35" s="22" t="s">
        <v>5</v>
      </c>
      <c r="L35" s="18">
        <v>377.05</v>
      </c>
      <c r="M35" s="19">
        <v>0.65</v>
      </c>
      <c r="N35" s="18">
        <v>245.08250000000001</v>
      </c>
      <c r="T35" s="4" t="str">
        <v>Locales</v>
      </c>
      <c r="U35" s="4" t="str">
        <v>MARGO</v>
      </c>
      <c r="V35" s="10" t="str" cm="1">
        <f t="array" ref="V35">IF(INDEX(_xlfn.ANCHORARRAY($AE$2),ROW()-6)="","",_xlfn.TEXTJOIN(", ",TRUE,IF($AD$2:$AD$757=INDEX(_xlfn.ANCHORARRAY($AE$2),ROW()-6),$E$2:$E$757,"")))</f>
        <v>102, 103</v>
      </c>
      <c r="W35" s="15" cm="1">
        <f t="array" ref="W35">IF(INDEX(_xlfn.ANCHORARRAY($AE$2),ROW()-6)="","",SUMIFS($L$2:$L$757,$AD$2:$AD$757,INDEX(_xlfn.ANCHORARRAY($AE$2),ROW()-6)))</f>
        <v>501.82000000000005</v>
      </c>
      <c r="X35" s="16" cm="1">
        <f t="array" ref="X35">IF(INDEX(_xlfn.ANCHORARRAY($AE$2),ROW()-6)="","",IFERROR(_xlfn.XLOOKUP(INDEX(_xlfn.ANCHORARRAY($AE$2),ROW()-6),$AD$2:$AD$757,$G$2:$G$757),""))</f>
        <v>46284</v>
      </c>
      <c r="Y35" s="16" cm="1">
        <f t="array" ref="Y35">IF(INDEX(_xlfn.ANCHORARRAY($AE$2),ROW()-6)="","",IFERROR(_xlfn.XLOOKUP(INDEX(_xlfn.ANCHORARRAY($AE$2),ROW()-6),$AD$2:$AD$757,$H$2:$H$757),""))</f>
        <v>48201</v>
      </c>
      <c r="Z35" s="15" cm="1">
        <f t="array" ref="Z35">IF(INDEX(_xlfn.ANCHORARRAY($AE$2),ROW()-6)="","",SUMIFS($N$2:$N$757,$AD$2:$AD$757,INDEX(_xlfn.ANCHORARRAY($AE$2),ROW()-6)))</f>
        <v>752.73</v>
      </c>
      <c r="AA35" s="17" cm="1">
        <f t="array" ref="AA35">IF(OR(INDEX(_xlfn.ANCHORARRAY($AE$2),ROW()-6)="",W35=0,LEFT(INDEX(_xlfn.ANCHORARRAY($AE$2),ROW()-6),1)="3",LEFT(INDEX(_xlfn.ANCHORARRAY($AE$2),ROW()-6),1)="4"),IF(INDEX(_xlfn.ANCHORARRAY($AE$2),ROW()-6)="","","-"),Z35/W35)</f>
        <v>1.4999999999999998</v>
      </c>
      <c r="AB35" s="4"/>
      <c r="AC35" s="4"/>
      <c r="AD35" s="20" t="str">
        <f>IF((B35="")+(B35="Vacante")+(D35=""),"",IFERROR(MATCH(D35,{"Oficinas";"Locales";"Estacionamientos";"Bodegas"},0),5)&amp;"|"&amp;B35&amp;"|"&amp;TEXT(G35,"yyyymmdd")&amp;"|"&amp;TEXT(H35,"yyyymmdd"))</f>
        <v>1|UKA CHILE|-|20260430</v>
      </c>
      <c r="AE35" s="4" t="str">
        <v>2|MARGO|-|20291231</v>
      </c>
      <c r="AF35" s="4"/>
    </row>
    <row r="36" spans="1:32" x14ac:dyDescent="0.2">
      <c r="A36" s="5">
        <v>13</v>
      </c>
      <c r="B36" s="22" t="s">
        <v>178</v>
      </c>
      <c r="C36" s="6" t="s">
        <v>46</v>
      </c>
      <c r="D36" s="6" t="s">
        <v>6</v>
      </c>
      <c r="E36" s="5">
        <v>1302</v>
      </c>
      <c r="F36" s="22"/>
      <c r="G36" s="9" t="s">
        <v>9</v>
      </c>
      <c r="H36" s="9">
        <v>47831</v>
      </c>
      <c r="I36" s="22" t="s">
        <v>5</v>
      </c>
      <c r="L36" s="18">
        <v>301.78000000000003</v>
      </c>
      <c r="M36" s="19">
        <v>0.65</v>
      </c>
      <c r="N36" s="18">
        <v>196.15700000000004</v>
      </c>
      <c r="T36" s="4" t="str">
        <v>Locales</v>
      </c>
      <c r="U36" s="4" t="str">
        <v xml:space="preserve">MERCADO ISIDORA </v>
      </c>
      <c r="V36" s="10" t="str" cm="1">
        <f t="array" ref="V36">IF(INDEX(_xlfn.ANCHORARRAY($AE$2),ROW()-6)="","",_xlfn.TEXTJOIN(", ",TRUE,IF($AD$2:$AD$757=INDEX(_xlfn.ANCHORARRAY($AE$2),ROW()-6),$E$2:$E$757,"")))</f>
        <v>301</v>
      </c>
      <c r="W36" s="15" cm="1">
        <f t="array" ref="W36">IF(INDEX(_xlfn.ANCHORARRAY($AE$2),ROW()-6)="","",SUMIFS($L$2:$L$757,$AD$2:$AD$757,INDEX(_xlfn.ANCHORARRAY($AE$2),ROW()-6)))</f>
        <v>1825.31</v>
      </c>
      <c r="X36" s="16" t="str" cm="1">
        <f t="array" ref="X36">IF(INDEX(_xlfn.ANCHORARRAY($AE$2),ROW()-6)="","",IFERROR(_xlfn.XLOOKUP(INDEX(_xlfn.ANCHORARRAY($AE$2),ROW()-6),$AD$2:$AD$757,$G$2:$G$757),""))</f>
        <v>-</v>
      </c>
      <c r="Y36" s="16" cm="1">
        <f t="array" ref="Y36">IF(INDEX(_xlfn.ANCHORARRAY($AE$2),ROW()-6)="","",IFERROR(_xlfn.XLOOKUP(INDEX(_xlfn.ANCHORARRAY($AE$2),ROW()-6),$AD$2:$AD$757,$H$2:$H$757),""))</f>
        <v>51317</v>
      </c>
      <c r="Z36" s="15" cm="1">
        <f t="array" ref="Z36">IF(INDEX(_xlfn.ANCHORARRAY($AE$2),ROW()-6)="","",SUMIFS($N$2:$N$757,$AD$2:$AD$757,INDEX(_xlfn.ANCHORARRAY($AE$2),ROW()-6)))</f>
        <v>730.12400000000002</v>
      </c>
      <c r="AA36" s="17" cm="1">
        <f t="array" ref="AA36">IF(OR(INDEX(_xlfn.ANCHORARRAY($AE$2),ROW()-6)="",W36=0,LEFT(INDEX(_xlfn.ANCHORARRAY($AE$2),ROW()-6),1)="3",LEFT(INDEX(_xlfn.ANCHORARRAY($AE$2),ROW()-6),1)="4"),IF(INDEX(_xlfn.ANCHORARRAY($AE$2),ROW()-6)="","","-"),Z36/W36)</f>
        <v>0.4</v>
      </c>
      <c r="AB36" s="4"/>
      <c r="AC36" s="4"/>
      <c r="AD36" s="20" t="str">
        <f>IF((B36="")+(B36="Vacante")+(D36=""),"",IFERROR(MATCH(D36,{"Oficinas";"Locales";"Estacionamientos";"Bodegas"},0),5)&amp;"|"&amp;B36&amp;"|"&amp;TEXT(G36,"yyyymmdd")&amp;"|"&amp;TEXT(H36,"yyyymmdd"))</f>
        <v>1|LANDMARK |-|20301214</v>
      </c>
      <c r="AE36" s="4" t="str">
        <v>2|MERCADO ISIDORA |-|20321031</v>
      </c>
      <c r="AF36" s="4"/>
    </row>
    <row r="37" spans="1:32" x14ac:dyDescent="0.2">
      <c r="A37" s="5">
        <v>12</v>
      </c>
      <c r="B37" s="22" t="s">
        <v>176</v>
      </c>
      <c r="C37" s="6" t="s">
        <v>47</v>
      </c>
      <c r="D37" s="6" t="s">
        <v>6</v>
      </c>
      <c r="E37" s="5">
        <v>1201</v>
      </c>
      <c r="F37" s="22"/>
      <c r="G37" s="9" t="s">
        <v>9</v>
      </c>
      <c r="H37" s="9">
        <v>46538</v>
      </c>
      <c r="I37" s="22" t="s">
        <v>5</v>
      </c>
      <c r="L37" s="18">
        <v>377.1</v>
      </c>
      <c r="M37" s="19">
        <v>0.67500000000000004</v>
      </c>
      <c r="N37" s="18">
        <v>254.54250000000002</v>
      </c>
      <c r="T37" s="4" t="str">
        <v>Locales</v>
      </c>
      <c r="U37" s="4" t="str">
        <v>OFFICE LOBBY</v>
      </c>
      <c r="V37" s="10" t="str" cm="1">
        <f t="array" ref="V37">IF(INDEX(_xlfn.ANCHORARRAY($AE$2),ROW()-6)="","",_xlfn.TEXTJOIN(", ",TRUE,IF($AD$2:$AD$757=INDEX(_xlfn.ANCHORARRAY($AE$2),ROW()-6),$E$2:$E$757,"")))</f>
        <v>104, 105</v>
      </c>
      <c r="W37" s="15" cm="1">
        <f t="array" ref="W37">IF(INDEX(_xlfn.ANCHORARRAY($AE$2),ROW()-6)="","",SUMIFS($L$2:$L$757,$AD$2:$AD$757,INDEX(_xlfn.ANCHORARRAY($AE$2),ROW()-6)))</f>
        <v>236.02500000000001</v>
      </c>
      <c r="X37" s="16" t="str" cm="1">
        <f t="array" ref="X37">IF(INDEX(_xlfn.ANCHORARRAY($AE$2),ROW()-6)="","",IFERROR(_xlfn.XLOOKUP(INDEX(_xlfn.ANCHORARRAY($AE$2),ROW()-6),$AD$2:$AD$757,$G$2:$G$757),""))</f>
        <v>-</v>
      </c>
      <c r="Y37" s="16" cm="1">
        <f t="array" ref="Y37">IF(INDEX(_xlfn.ANCHORARRAY($AE$2),ROW()-6)="","",IFERROR(_xlfn.XLOOKUP(INDEX(_xlfn.ANCHORARRAY($AE$2),ROW()-6),$AD$2:$AD$757,$H$2:$H$757),""))</f>
        <v>46965</v>
      </c>
      <c r="Z37" s="15" cm="1">
        <f t="array" ref="Z37">IF(INDEX(_xlfn.ANCHORARRAY($AE$2),ROW()-6)="","",SUMIFS($N$2:$N$757,$AD$2:$AD$757,INDEX(_xlfn.ANCHORARRAY($AE$2),ROW()-6)))</f>
        <v>271.42874999999998</v>
      </c>
      <c r="AA37" s="17" cm="1">
        <f t="array" ref="AA37">IF(OR(INDEX(_xlfn.ANCHORARRAY($AE$2),ROW()-6)="",W37=0,LEFT(INDEX(_xlfn.ANCHORARRAY($AE$2),ROW()-6),1)="3",LEFT(INDEX(_xlfn.ANCHORARRAY($AE$2),ROW()-6),1)="4"),IF(INDEX(_xlfn.ANCHORARRAY($AE$2),ROW()-6)="","","-"),Z37/W37)</f>
        <v>1.1499999999999999</v>
      </c>
      <c r="AB37" s="4"/>
      <c r="AC37" s="4"/>
      <c r="AD37" s="20" t="str">
        <f>IF((B37="")+(B37="Vacante")+(D37=""),"",IFERROR(MATCH(D37,{"Oficinas";"Locales";"Estacionamientos";"Bodegas"},0),5)&amp;"|"&amp;B37&amp;"|"&amp;TEXT(G37,"yyyymmdd")&amp;"|"&amp;TEXT(H37,"yyyymmdd"))</f>
        <v>1|NUEVA ZELANDIA|-|20270531</v>
      </c>
      <c r="AE37" s="4" t="str">
        <v>2|OFFICE LOBBY|-|-</v>
      </c>
      <c r="AF37" s="4"/>
    </row>
    <row r="38" spans="1:32" x14ac:dyDescent="0.2">
      <c r="A38" s="5">
        <v>12</v>
      </c>
      <c r="B38" s="22" t="s">
        <v>176</v>
      </c>
      <c r="C38" s="6" t="s">
        <v>47</v>
      </c>
      <c r="D38" s="6" t="s">
        <v>6</v>
      </c>
      <c r="E38" s="5">
        <v>1202</v>
      </c>
      <c r="F38" s="22"/>
      <c r="G38" s="9" t="s">
        <v>9</v>
      </c>
      <c r="H38" s="9">
        <v>46538</v>
      </c>
      <c r="I38" s="22" t="s">
        <v>5</v>
      </c>
      <c r="L38" s="18">
        <v>301.90000000000003</v>
      </c>
      <c r="M38" s="19">
        <v>0.67500000000000004</v>
      </c>
      <c r="N38" s="18">
        <v>203.78250000000003</v>
      </c>
      <c r="T38" s="4" t="str">
        <v>Locales</v>
      </c>
      <c r="U38" s="4" t="str">
        <v>TATTERSAL</v>
      </c>
      <c r="V38" s="10" t="str" cm="1">
        <f t="array" ref="V38">IF(INDEX(_xlfn.ANCHORARRAY($AE$2),ROW()-6)="","",_xlfn.TEXTJOIN(", ",TRUE,IF($AD$2:$AD$757=INDEX(_xlfn.ANCHORARRAY($AE$2),ROW()-6),$E$2:$E$757,"")))</f>
        <v>S-104, S-105 A</v>
      </c>
      <c r="W38" s="15" cm="1">
        <f t="array" ref="W38">IF(INDEX(_xlfn.ANCHORARRAY($AE$2),ROW()-6)="","",SUMIFS($L$2:$L$757,$AD$2:$AD$757,INDEX(_xlfn.ANCHORARRAY($AE$2),ROW()-6)))</f>
        <v>119.47999999999999</v>
      </c>
      <c r="X38" s="16" t="str" cm="1">
        <f t="array" ref="X38">IF(INDEX(_xlfn.ANCHORARRAY($AE$2),ROW()-6)="","",IFERROR(_xlfn.XLOOKUP(INDEX(_xlfn.ANCHORARRAY($AE$2),ROW()-6),$AD$2:$AD$757,$G$2:$G$757),""))</f>
        <v>-</v>
      </c>
      <c r="Y38" s="16" cm="1">
        <f t="array" ref="Y38">IF(INDEX(_xlfn.ANCHORARRAY($AE$2),ROW()-6)="","",IFERROR(_xlfn.XLOOKUP(INDEX(_xlfn.ANCHORARRAY($AE$2),ROW()-6),$AD$2:$AD$757,$H$2:$H$757),""))</f>
        <v>47118</v>
      </c>
      <c r="Z38" s="15" cm="1">
        <f t="array" ref="Z38">IF(INDEX(_xlfn.ANCHORARRAY($AE$2),ROW()-6)="","",SUMIFS($N$2:$N$757,$AD$2:$AD$757,INDEX(_xlfn.ANCHORARRAY($AE$2),ROW()-6)))</f>
        <v>173.24599999999998</v>
      </c>
      <c r="AA38" s="17" cm="1">
        <f t="array" ref="AA38">IF(OR(INDEX(_xlfn.ANCHORARRAY($AE$2),ROW()-6)="",W38=0,LEFT(INDEX(_xlfn.ANCHORARRAY($AE$2),ROW()-6),1)="3",LEFT(INDEX(_xlfn.ANCHORARRAY($AE$2),ROW()-6),1)="4"),IF(INDEX(_xlfn.ANCHORARRAY($AE$2),ROW()-6)="","","-"),Z38/W38)</f>
        <v>1.45</v>
      </c>
      <c r="AB38" s="4"/>
      <c r="AC38" s="4"/>
      <c r="AD38" s="20" t="str">
        <f>IF((B38="")+(B38="Vacante")+(D38=""),"",IFERROR(MATCH(D38,{"Oficinas";"Locales";"Estacionamientos";"Bodegas"},0),5)&amp;"|"&amp;B38&amp;"|"&amp;TEXT(G38,"yyyymmdd")&amp;"|"&amp;TEXT(H38,"yyyymmdd"))</f>
        <v>1|NUEVA ZELANDIA|-|20270531</v>
      </c>
      <c r="AE38" s="4" t="str">
        <v>2|TATTERSAL|-|20270228</v>
      </c>
      <c r="AF38" s="4"/>
    </row>
    <row r="39" spans="1:32" x14ac:dyDescent="0.2">
      <c r="A39" s="5">
        <v>3</v>
      </c>
      <c r="B39" s="22" t="s">
        <v>207</v>
      </c>
      <c r="C39" s="6" t="s">
        <v>48</v>
      </c>
      <c r="D39" s="6" t="s">
        <v>7</v>
      </c>
      <c r="E39" s="5">
        <v>301</v>
      </c>
      <c r="F39" s="22"/>
      <c r="G39" s="9" t="s">
        <v>9</v>
      </c>
      <c r="H39" s="9">
        <v>51317</v>
      </c>
      <c r="I39" s="22" t="s">
        <v>5</v>
      </c>
      <c r="L39" s="18">
        <v>1825.31</v>
      </c>
      <c r="M39" s="19">
        <v>0.4</v>
      </c>
      <c r="N39" s="18">
        <v>730.12400000000002</v>
      </c>
      <c r="T39" s="4" t="str">
        <v>Locales</v>
      </c>
      <c r="U39" s="4" t="str">
        <v>TENGU</v>
      </c>
      <c r="V39" s="10" t="str" cm="1">
        <f t="array" ref="V39">IF(INDEX(_xlfn.ANCHORARRAY($AE$2),ROW()-6)="","",_xlfn.TEXTJOIN(", ",TRUE,IF($AD$2:$AD$757=INDEX(_xlfn.ANCHORARRAY($AE$2),ROW()-6),$E$2:$E$757,"")))</f>
        <v>201</v>
      </c>
      <c r="W39" s="15" cm="1">
        <f t="array" ref="W39">IF(INDEX(_xlfn.ANCHORARRAY($AE$2),ROW()-6)="","",SUMIFS($L$2:$L$757,$AD$2:$AD$757,INDEX(_xlfn.ANCHORARRAY($AE$2),ROW()-6)))</f>
        <v>284.38</v>
      </c>
      <c r="X39" s="16" t="str" cm="1">
        <f t="array" ref="X39">IF(INDEX(_xlfn.ANCHORARRAY($AE$2),ROW()-6)="","",IFERROR(_xlfn.XLOOKUP(INDEX(_xlfn.ANCHORARRAY($AE$2),ROW()-6),$AD$2:$AD$757,$G$2:$G$757),""))</f>
        <v>-</v>
      </c>
      <c r="Y39" s="16" t="str" cm="1">
        <f t="array" ref="Y39">IF(INDEX(_xlfn.ANCHORARRAY($AE$2),ROW()-6)="","",IFERROR(_xlfn.XLOOKUP(INDEX(_xlfn.ANCHORARRAY($AE$2),ROW()-6),$AD$2:$AD$757,$H$2:$H$757),""))</f>
        <v>May 31, 2030</v>
      </c>
      <c r="Z39" s="15" cm="1">
        <f t="array" ref="Z39">IF(INDEX(_xlfn.ANCHORARRAY($AE$2),ROW()-6)="","",SUMIFS($N$2:$N$757,$AD$2:$AD$757,INDEX(_xlfn.ANCHORARRAY($AE$2),ROW()-6)))</f>
        <v>0</v>
      </c>
      <c r="AA39" s="17" cm="1">
        <f t="array" ref="AA39">IF(OR(INDEX(_xlfn.ANCHORARRAY($AE$2),ROW()-6)="",W39=0,LEFT(INDEX(_xlfn.ANCHORARRAY($AE$2),ROW()-6),1)="3",LEFT(INDEX(_xlfn.ANCHORARRAY($AE$2),ROW()-6),1)="4"),IF(INDEX(_xlfn.ANCHORARRAY($AE$2),ROW()-6)="","","-"),Z39/W39)</f>
        <v>0</v>
      </c>
      <c r="AB39" s="4"/>
      <c r="AC39" s="4"/>
      <c r="AD39" s="20" t="str">
        <f>IF((B39="")+(B39="Vacante")+(D39=""),"",IFERROR(MATCH(D39,{"Oficinas";"Locales";"Estacionamientos";"Bodegas"},0),5)&amp;"|"&amp;B39&amp;"|"&amp;TEXT(G39,"yyyymmdd")&amp;"|"&amp;TEXT(H39,"yyyymmdd"))</f>
        <v>2|BIORITMO|-|20400630</v>
      </c>
      <c r="AE39" s="4" t="str">
        <v>2|TENGU|-|20310930</v>
      </c>
      <c r="AF39" s="4"/>
    </row>
    <row r="40" spans="1:32" x14ac:dyDescent="0.2">
      <c r="A40" s="5">
        <v>3</v>
      </c>
      <c r="B40" s="22" t="s">
        <v>208</v>
      </c>
      <c r="C40" s="6" t="s">
        <v>49</v>
      </c>
      <c r="D40" s="6" t="s">
        <v>7</v>
      </c>
      <c r="E40" s="5">
        <v>301</v>
      </c>
      <c r="F40" s="22" t="s">
        <v>50</v>
      </c>
      <c r="G40" s="9" t="s">
        <v>9</v>
      </c>
      <c r="H40" s="9">
        <v>47497</v>
      </c>
      <c r="I40" s="22" t="s">
        <v>5</v>
      </c>
      <c r="L40" s="18">
        <v>20.010000000000002</v>
      </c>
      <c r="M40" s="19">
        <v>0.45400000000000001</v>
      </c>
      <c r="N40" s="18">
        <v>9.0845400000000005</v>
      </c>
      <c r="T40" s="4" t="str">
        <v>Locales</v>
      </c>
      <c r="U40" s="4" t="str">
        <v>THE BOSS</v>
      </c>
      <c r="V40" s="10" t="str" cm="1">
        <f t="array" ref="V40">IF(INDEX(_xlfn.ANCHORARRAY($AE$2),ROW()-6)="","",_xlfn.TEXTJOIN(", ",TRUE,IF($AD$2:$AD$757=INDEX(_xlfn.ANCHORARRAY($AE$2),ROW()-6),$E$2:$E$757,"")))</f>
        <v>S-101</v>
      </c>
      <c r="W40" s="15" cm="1">
        <f t="array" ref="W40">IF(INDEX(_xlfn.ANCHORARRAY($AE$2),ROW()-6)="","",SUMIFS($L$2:$L$757,$AD$2:$AD$757,INDEX(_xlfn.ANCHORARRAY($AE$2),ROW()-6)))</f>
        <v>658.86</v>
      </c>
      <c r="X40" s="16" t="str" cm="1">
        <f t="array" ref="X40">IF(INDEX(_xlfn.ANCHORARRAY($AE$2),ROW()-6)="","",IFERROR(_xlfn.XLOOKUP(INDEX(_xlfn.ANCHORARRAY($AE$2),ROW()-6),$AD$2:$AD$757,$G$2:$G$757),""))</f>
        <v>-</v>
      </c>
      <c r="Y40" s="16" cm="1">
        <f t="array" ref="Y40">IF(INDEX(_xlfn.ANCHORARRAY($AE$2),ROW()-6)="","",IFERROR(_xlfn.XLOOKUP(INDEX(_xlfn.ANCHORARRAY($AE$2),ROW()-6),$AD$2:$AD$757,$H$2:$H$757),""))</f>
        <v>47483</v>
      </c>
      <c r="Z40" s="15" cm="1">
        <f t="array" ref="Z40">IF(INDEX(_xlfn.ANCHORARRAY($AE$2),ROW()-6)="","",SUMIFS($N$2:$N$757,$AD$2:$AD$757,INDEX(_xlfn.ANCHORARRAY($AE$2),ROW()-6)))</f>
        <v>527.08800000000008</v>
      </c>
      <c r="AA40" s="17" cm="1">
        <f t="array" ref="AA40">IF(OR(INDEX(_xlfn.ANCHORARRAY($AE$2),ROW()-6)="",W40=0,LEFT(INDEX(_xlfn.ANCHORARRAY($AE$2),ROW()-6),1)="3",LEFT(INDEX(_xlfn.ANCHORARRAY($AE$2),ROW()-6),1)="4"),IF(INDEX(_xlfn.ANCHORARRAY($AE$2),ROW()-6)="","","-"),Z40/W40)</f>
        <v>0.80000000000000016</v>
      </c>
      <c r="AB40" s="4"/>
      <c r="AC40" s="4"/>
      <c r="AD40" s="20" t="str">
        <f>IF((B40="")+(B40="Vacante")+(D40=""),"",IFERROR(MATCH(D40,{"Oficinas";"Locales";"Estacionamientos";"Bodegas"},0),5)&amp;"|"&amp;B40&amp;"|"&amp;TEXT(G40,"yyyymmdd")&amp;"|"&amp;TEXT(H40,"yyyymmdd"))</f>
        <v>2|THE BOSS|-|20300114</v>
      </c>
      <c r="AE40" s="4" t="str">
        <v>2|THE BOSS|-|20300114</v>
      </c>
      <c r="AF40" s="4"/>
    </row>
    <row r="41" spans="1:32" x14ac:dyDescent="0.2">
      <c r="A41" s="5">
        <v>3</v>
      </c>
      <c r="B41" s="22" t="s">
        <v>208</v>
      </c>
      <c r="C41" s="6" t="s">
        <v>49</v>
      </c>
      <c r="D41" s="6" t="s">
        <v>7</v>
      </c>
      <c r="E41" s="5">
        <v>302</v>
      </c>
      <c r="F41" s="22"/>
      <c r="G41" s="9" t="s">
        <v>9</v>
      </c>
      <c r="H41" s="9">
        <v>47497</v>
      </c>
      <c r="I41" s="22" t="s">
        <v>5</v>
      </c>
      <c r="L41" s="18">
        <v>81.58</v>
      </c>
      <c r="M41" s="19">
        <v>0.86499999999999999</v>
      </c>
      <c r="N41" s="18">
        <v>70.566699999999997</v>
      </c>
      <c r="T41" s="4" t="str">
        <v>Locales</v>
      </c>
      <c r="U41" s="4" t="str">
        <v>VILAPERT</v>
      </c>
      <c r="V41" s="10" t="str" cm="1">
        <f t="array" ref="V41">IF(INDEX(_xlfn.ANCHORARRAY($AE$2),ROW()-6)="","",_xlfn.TEXTJOIN(", ",TRUE,IF($AD$2:$AD$757=INDEX(_xlfn.ANCHORARRAY($AE$2),ROW()-6),$E$2:$E$757,"")))</f>
        <v>S-102, S-103, S-105 B, S-106 A, S-106 B, S-106 A/B</v>
      </c>
      <c r="W41" s="15" cm="1">
        <f t="array" ref="W41">IF(INDEX(_xlfn.ANCHORARRAY($AE$2),ROW()-6)="","",SUMIFS($L$2:$L$757,$AD$2:$AD$757,INDEX(_xlfn.ANCHORARRAY($AE$2),ROW()-6)))</f>
        <v>1082.32</v>
      </c>
      <c r="X41" s="16" t="str" cm="1">
        <f t="array" ref="X41">IF(INDEX(_xlfn.ANCHORARRAY($AE$2),ROW()-6)="","",IFERROR(_xlfn.XLOOKUP(INDEX(_xlfn.ANCHORARRAY($AE$2),ROW()-6),$AD$2:$AD$757,$G$2:$G$757),""))</f>
        <v>-</v>
      </c>
      <c r="Y41" s="16" cm="1">
        <f t="array" ref="Y41">IF(INDEX(_xlfn.ANCHORARRAY($AE$2),ROW()-6)="","",IFERROR(_xlfn.XLOOKUP(INDEX(_xlfn.ANCHORARRAY($AE$2),ROW()-6),$AD$2:$AD$757,$H$2:$H$757),""))</f>
        <v>48518</v>
      </c>
      <c r="Z41" s="15" cm="1">
        <f t="array" ref="Z41">IF(INDEX(_xlfn.ANCHORARRAY($AE$2),ROW()-6)="","",SUMIFS($N$2:$N$757,$AD$2:$AD$757,INDEX(_xlfn.ANCHORARRAY($AE$2),ROW()-6)))</f>
        <v>865.85599999999999</v>
      </c>
      <c r="AA41" s="17" cm="1">
        <f t="array" ref="AA41">IF(OR(INDEX(_xlfn.ANCHORARRAY($AE$2),ROW()-6)="",W41=0,LEFT(INDEX(_xlfn.ANCHORARRAY($AE$2),ROW()-6),1)="3",LEFT(INDEX(_xlfn.ANCHORARRAY($AE$2),ROW()-6),1)="4"),IF(INDEX(_xlfn.ANCHORARRAY($AE$2),ROW()-6)="","","-"),Z41/W41)</f>
        <v>0.8</v>
      </c>
      <c r="AB41" s="4"/>
      <c r="AC41" s="4"/>
      <c r="AD41" s="20" t="str">
        <f>IF((B41="")+(B41="Vacante")+(D41=""),"",IFERROR(MATCH(D41,{"Oficinas";"Locales";"Estacionamientos";"Bodegas"},0),5)&amp;"|"&amp;B41&amp;"|"&amp;TEXT(G41,"yyyymmdd")&amp;"|"&amp;TEXT(H41,"yyyymmdd"))</f>
        <v>2|THE BOSS|-|20300114</v>
      </c>
      <c r="AE41" s="4" t="str">
        <v>2|VILAPERT|-|20271016</v>
      </c>
      <c r="AF41" s="4"/>
    </row>
    <row r="42" spans="1:32" x14ac:dyDescent="0.2">
      <c r="A42" s="5">
        <v>3</v>
      </c>
      <c r="B42" s="22" t="s">
        <v>208</v>
      </c>
      <c r="C42" s="6" t="s">
        <v>49</v>
      </c>
      <c r="D42" s="6" t="s">
        <v>7</v>
      </c>
      <c r="E42" s="5">
        <v>303</v>
      </c>
      <c r="F42" s="22"/>
      <c r="G42" s="9" t="s">
        <v>9</v>
      </c>
      <c r="H42" s="9">
        <v>47497</v>
      </c>
      <c r="I42" s="22" t="s">
        <v>5</v>
      </c>
      <c r="L42" s="18">
        <v>52.23</v>
      </c>
      <c r="M42" s="19">
        <v>0.86499999999999988</v>
      </c>
      <c r="N42" s="18">
        <v>45.178949999999993</v>
      </c>
      <c r="T42" s="4" t="str">
        <v>Estacionamientos</v>
      </c>
      <c r="U42" s="4" t="str">
        <v>AHK</v>
      </c>
      <c r="V42" s="10" t="str" cm="1">
        <f t="array" ref="V42">IF(INDEX(_xlfn.ANCHORARRAY($AE$2),ROW()-6)="","",_xlfn.TEXTJOIN(", ",TRUE,IF($AD$2:$AD$757=INDEX(_xlfn.ANCHORARRAY($AE$2),ROW()-6),$E$2:$E$757,"")))</f>
        <v>106 C</v>
      </c>
      <c r="W42" s="15" cm="1">
        <f t="array" ref="W42">IF(INDEX(_xlfn.ANCHORARRAY($AE$2),ROW()-6)="","",SUMIFS($L$2:$L$757,$AD$2:$AD$757,INDEX(_xlfn.ANCHORARRAY($AE$2),ROW()-6)))</f>
        <v>35.65</v>
      </c>
      <c r="X42" s="16" t="str" cm="1">
        <f t="array" ref="X42">IF(INDEX(_xlfn.ANCHORARRAY($AE$2),ROW()-6)="","",IFERROR(_xlfn.XLOOKUP(INDEX(_xlfn.ANCHORARRAY($AE$2),ROW()-6),$AD$2:$AD$757,$G$2:$G$757),""))</f>
        <v>-</v>
      </c>
      <c r="Y42" s="16" t="str" cm="1">
        <f t="array" ref="Y42">IF(INDEX(_xlfn.ANCHORARRAY($AE$2),ROW()-6)="","",IFERROR(_xlfn.XLOOKUP(INDEX(_xlfn.ANCHORARRAY($AE$2),ROW()-6),$AD$2:$AD$757,$H$2:$H$757),""))</f>
        <v>-</v>
      </c>
      <c r="Z42" s="15" cm="1">
        <f t="array" ref="Z42">IF(INDEX(_xlfn.ANCHORARRAY($AE$2),ROW()-6)="","",SUMIFS($N$2:$N$757,$AD$2:$AD$757,INDEX(_xlfn.ANCHORARRAY($AE$2),ROW()-6)))</f>
        <v>0</v>
      </c>
      <c r="AA42" s="17" cm="1">
        <f t="array" ref="AA42">IF(OR(INDEX(_xlfn.ANCHORARRAY($AE$2),ROW()-6)="",W42=0,LEFT(INDEX(_xlfn.ANCHORARRAY($AE$2),ROW()-6),1)="3",LEFT(INDEX(_xlfn.ANCHORARRAY($AE$2),ROW()-6),1)="4"),IF(INDEX(_xlfn.ANCHORARRAY($AE$2),ROW()-6)="","","-"),Z42/W42)</f>
        <v>0</v>
      </c>
      <c r="AB42" s="4"/>
      <c r="AC42" s="4"/>
      <c r="AD42" s="20" t="str">
        <f>IF((B42="")+(B42="Vacante")+(D42=""),"",IFERROR(MATCH(D42,{"Oficinas";"Locales";"Estacionamientos";"Bodegas"},0),5)&amp;"|"&amp;B42&amp;"|"&amp;TEXT(G42,"yyyymmdd")&amp;"|"&amp;TEXT(H42,"yyyymmdd"))</f>
        <v>2|THE BOSS|-|20300114</v>
      </c>
      <c r="AE42" s="4" t="str">
        <v>3|AHK|-|20300228</v>
      </c>
      <c r="AF42" s="4"/>
    </row>
    <row r="43" spans="1:32" x14ac:dyDescent="0.2">
      <c r="A43" s="5">
        <v>3</v>
      </c>
      <c r="B43" s="22" t="s">
        <v>4</v>
      </c>
      <c r="C43" s="6" t="s">
        <v>4</v>
      </c>
      <c r="D43" s="6" t="s">
        <v>7</v>
      </c>
      <c r="E43" s="5">
        <v>303</v>
      </c>
      <c r="F43" s="22" t="s">
        <v>50</v>
      </c>
      <c r="G43" s="9" t="s">
        <v>9</v>
      </c>
      <c r="H43" s="9" t="s">
        <v>9</v>
      </c>
      <c r="I43" s="22" t="s">
        <v>5</v>
      </c>
      <c r="L43" s="18">
        <v>44.93</v>
      </c>
      <c r="M43" s="19">
        <v>0</v>
      </c>
      <c r="N43" s="18">
        <v>0</v>
      </c>
      <c r="T43" s="4" t="str">
        <v>Estacionamientos</v>
      </c>
      <c r="U43" s="4" t="str">
        <v>AMLV GRUPO</v>
      </c>
      <c r="V43" s="10" t="str" cm="1">
        <f t="array" ref="V43">IF(INDEX(_xlfn.ANCHORARRAY($AE$2),ROW()-6)="","",_xlfn.TEXTJOIN(", ",TRUE,IF($AD$2:$AD$757=INDEX(_xlfn.ANCHORARRAY($AE$2),ROW()-6),$E$2:$E$757,"")))</f>
        <v>106</v>
      </c>
      <c r="W43" s="15" cm="1">
        <f t="array" ref="W43">IF(INDEX(_xlfn.ANCHORARRAY($AE$2),ROW()-6)="","",SUMIFS($L$2:$L$757,$AD$2:$AD$757,INDEX(_xlfn.ANCHORARRAY($AE$2),ROW()-6)))</f>
        <v>63.55</v>
      </c>
      <c r="X43" s="16" t="str" cm="1">
        <f t="array" ref="X43">IF(INDEX(_xlfn.ANCHORARRAY($AE$2),ROW()-6)="","",IFERROR(_xlfn.XLOOKUP(INDEX(_xlfn.ANCHORARRAY($AE$2),ROW()-6),$AD$2:$AD$757,$G$2:$G$757),""))</f>
        <v>-</v>
      </c>
      <c r="Y43" s="16" cm="1">
        <f t="array" ref="Y43">IF(INDEX(_xlfn.ANCHORARRAY($AE$2),ROW()-6)="","",IFERROR(_xlfn.XLOOKUP(INDEX(_xlfn.ANCHORARRAY($AE$2),ROW()-6),$AD$2:$AD$757,$H$2:$H$757),""))</f>
        <v>46446</v>
      </c>
      <c r="Z43" s="15" cm="1">
        <f t="array" ref="Z43">IF(INDEX(_xlfn.ANCHORARRAY($AE$2),ROW()-6)="","",SUMIFS($N$2:$N$757,$AD$2:$AD$757,INDEX(_xlfn.ANCHORARRAY($AE$2),ROW()-6)))</f>
        <v>76.36999999999999</v>
      </c>
      <c r="AA43" s="17" cm="1">
        <f t="array" ref="AA43">IF(OR(INDEX(_xlfn.ANCHORARRAY($AE$2),ROW()-6)="",W43=0,LEFT(INDEX(_xlfn.ANCHORARRAY($AE$2),ROW()-6),1)="3",LEFT(INDEX(_xlfn.ANCHORARRAY($AE$2),ROW()-6),1)="4"),IF(INDEX(_xlfn.ANCHORARRAY($AE$2),ROW()-6)="","","-"),Z43/W43)</f>
        <v>1.2017309205350117</v>
      </c>
      <c r="AB43" s="4"/>
      <c r="AC43" s="4"/>
      <c r="AD43" s="20" t="str">
        <f>IF((B43="")+(B43="Vacante")+(D43=""),"",IFERROR(MATCH(D43,{"Oficinas";"Locales";"Estacionamientos";"Bodegas"},0),5)&amp;"|"&amp;B43&amp;"|"&amp;TEXT(G43,"yyyymmdd")&amp;"|"&amp;TEXT(H43,"yyyymmdd"))</f>
        <v/>
      </c>
      <c r="AE43" s="4" t="str">
        <v>3|AMLV GRUPO|20260331|20280331</v>
      </c>
      <c r="AF43" s="4"/>
    </row>
    <row r="44" spans="1:32" x14ac:dyDescent="0.2">
      <c r="A44" s="5">
        <v>2</v>
      </c>
      <c r="B44" s="22" t="s">
        <v>51</v>
      </c>
      <c r="C44" s="6" t="s">
        <v>51</v>
      </c>
      <c r="D44" s="6" t="s">
        <v>6</v>
      </c>
      <c r="E44" s="5">
        <v>202</v>
      </c>
      <c r="F44" s="22" t="s">
        <v>52</v>
      </c>
      <c r="G44" s="9" t="s">
        <v>9</v>
      </c>
      <c r="H44" s="9">
        <v>46752</v>
      </c>
      <c r="I44" s="22" t="s">
        <v>5</v>
      </c>
      <c r="L44" s="18">
        <v>226.30500000000001</v>
      </c>
      <c r="M44" s="19">
        <v>0.6</v>
      </c>
      <c r="N44" s="18">
        <v>135.78299999999999</v>
      </c>
      <c r="T44" s="4" t="str">
        <v>Estacionamientos</v>
      </c>
      <c r="U44" s="4" t="str">
        <v>BANCO SANTANDER</v>
      </c>
      <c r="V44" s="10" t="str" cm="1">
        <f t="array" ref="V44">IF(INDEX(_xlfn.ANCHORARRAY($AE$2),ROW()-6)="","",_xlfn.TEXTJOIN(", ",TRUE,IF($AD$2:$AD$757=INDEX(_xlfn.ANCHORARRAY($AE$2),ROW()-6),$E$2:$E$757,"")))</f>
        <v>104 B, 104 C, 105 B</v>
      </c>
      <c r="W44" s="15" cm="1">
        <f t="array" ref="W44">IF(INDEX(_xlfn.ANCHORARRAY($AE$2),ROW()-6)="","",SUMIFS($L$2:$L$757,$AD$2:$AD$757,INDEX(_xlfn.ANCHORARRAY($AE$2),ROW()-6)))</f>
        <v>171.14499999999998</v>
      </c>
      <c r="X44" s="16" t="str" cm="1">
        <f t="array" ref="X44">IF(INDEX(_xlfn.ANCHORARRAY($AE$2),ROW()-6)="","",IFERROR(_xlfn.XLOOKUP(INDEX(_xlfn.ANCHORARRAY($AE$2),ROW()-6),$AD$2:$AD$757,$G$2:$G$757),""))</f>
        <v>-</v>
      </c>
      <c r="Y44" s="16" cm="1">
        <f t="array" ref="Y44">IF(INDEX(_xlfn.ANCHORARRAY($AE$2),ROW()-6)="","",IFERROR(_xlfn.XLOOKUP(INDEX(_xlfn.ANCHORARRAY($AE$2),ROW()-6),$AD$2:$AD$757,$H$2:$H$757),""))</f>
        <v>48121</v>
      </c>
      <c r="Z44" s="15" cm="1">
        <f t="array" ref="Z44">IF(INDEX(_xlfn.ANCHORARRAY($AE$2),ROW()-6)="","",SUMIFS($N$2:$N$757,$AD$2:$AD$757,INDEX(_xlfn.ANCHORARRAY($AE$2),ROW()-6)))</f>
        <v>171.14499999999998</v>
      </c>
      <c r="AA44" s="17" cm="1">
        <f t="array" ref="AA44">IF(OR(INDEX(_xlfn.ANCHORARRAY($AE$2),ROW()-6)="",W44=0,LEFT(INDEX(_xlfn.ANCHORARRAY($AE$2),ROW()-6),1)="3",LEFT(INDEX(_xlfn.ANCHORARRAY($AE$2),ROW()-6),1)="4"),IF(INDEX(_xlfn.ANCHORARRAY($AE$2),ROW()-6)="","","-"),Z44/W44)</f>
        <v>1</v>
      </c>
      <c r="AB44" s="4"/>
      <c r="AC44" s="4"/>
      <c r="AD44" s="20" t="str">
        <f>IF((B44="")+(B44="Vacante")+(D44=""),"",IFERROR(MATCH(D44,{"Oficinas";"Locales";"Estacionamientos";"Bodegas"},0),5)&amp;"|"&amp;B44&amp;"|"&amp;TEXT(G44,"yyyymmdd")&amp;"|"&amp;TEXT(H44,"yyyymmdd"))</f>
        <v>1|SOURCING SPA|-|20271231</v>
      </c>
      <c r="AE44" s="4" t="str">
        <v>3|BANCO SANTANDER|20260919|20311219</v>
      </c>
      <c r="AF44" s="4"/>
    </row>
    <row r="45" spans="1:32" x14ac:dyDescent="0.2">
      <c r="A45" s="5">
        <v>2</v>
      </c>
      <c r="B45" s="22" t="s">
        <v>51</v>
      </c>
      <c r="C45" s="6" t="s">
        <v>51</v>
      </c>
      <c r="D45" s="6" t="s">
        <v>6</v>
      </c>
      <c r="E45" s="5">
        <v>202</v>
      </c>
      <c r="F45" s="22" t="s">
        <v>53</v>
      </c>
      <c r="G45" s="9" t="s">
        <v>9</v>
      </c>
      <c r="H45" s="9">
        <v>46752</v>
      </c>
      <c r="I45" s="22" t="s">
        <v>5</v>
      </c>
      <c r="L45" s="18">
        <v>226.30500000000001</v>
      </c>
      <c r="M45" s="19">
        <v>0.6</v>
      </c>
      <c r="N45" s="18">
        <v>135.78299999999999</v>
      </c>
      <c r="T45" s="4" t="str">
        <v>Estacionamientos</v>
      </c>
      <c r="U45" s="4" t="str">
        <v>BIORITMO</v>
      </c>
      <c r="V45" s="10" t="str" cm="1">
        <f t="array" ref="V45">IF(INDEX(_xlfn.ANCHORARRAY($AE$2),ROW()-6)="","",_xlfn.TEXTJOIN(", ",TRUE,IF($AD$2:$AD$757=INDEX(_xlfn.ANCHORARRAY($AE$2),ROW()-6),$E$2:$E$757,"")))</f>
        <v>301, 302, 303</v>
      </c>
      <c r="W45" s="15" cm="1">
        <f t="array" ref="W45">IF(INDEX(_xlfn.ANCHORARRAY($AE$2),ROW()-6)="","",SUMIFS($L$2:$L$757,$AD$2:$AD$757,INDEX(_xlfn.ANCHORARRAY($AE$2),ROW()-6)))</f>
        <v>153.82</v>
      </c>
      <c r="X45" s="16" t="str" cm="1">
        <f t="array" ref="X45">IF(INDEX(_xlfn.ANCHORARRAY($AE$2),ROW()-6)="","",IFERROR(_xlfn.XLOOKUP(INDEX(_xlfn.ANCHORARRAY($AE$2),ROW()-6),$AD$2:$AD$757,$G$2:$G$757),""))</f>
        <v>-</v>
      </c>
      <c r="Y45" s="16" cm="1">
        <f t="array" ref="Y45">IF(INDEX(_xlfn.ANCHORARRAY($AE$2),ROW()-6)="","",IFERROR(_xlfn.XLOOKUP(INDEX(_xlfn.ANCHORARRAY($AE$2),ROW()-6),$AD$2:$AD$757,$H$2:$H$757),""))</f>
        <v>47497</v>
      </c>
      <c r="Z45" s="15" cm="1">
        <f t="array" ref="Z45">IF(INDEX(_xlfn.ANCHORARRAY($AE$2),ROW()-6)="","",SUMIFS($N$2:$N$757,$AD$2:$AD$757,INDEX(_xlfn.ANCHORARRAY($AE$2),ROW()-6)))</f>
        <v>124.83018999999999</v>
      </c>
      <c r="AA45" s="17" cm="1">
        <f t="array" ref="AA45">IF(OR(INDEX(_xlfn.ANCHORARRAY($AE$2),ROW()-6)="",W45=0,LEFT(INDEX(_xlfn.ANCHORARRAY($AE$2),ROW()-6),1)="3",LEFT(INDEX(_xlfn.ANCHORARRAY($AE$2),ROW()-6),1)="4"),IF(INDEX(_xlfn.ANCHORARRAY($AE$2),ROW()-6)="","","-"),Z45/W45)</f>
        <v>0.81153419581328823</v>
      </c>
      <c r="AB45" s="4"/>
      <c r="AC45" s="4"/>
      <c r="AD45" s="20" t="str">
        <f>IF((B45="")+(B45="Vacante")+(D45=""),"",IFERROR(MATCH(D45,{"Oficinas";"Locales";"Estacionamientos";"Bodegas"},0),5)&amp;"|"&amp;B45&amp;"|"&amp;TEXT(G45,"yyyymmdd")&amp;"|"&amp;TEXT(H45,"yyyymmdd"))</f>
        <v>1|SOURCING SPA|-|20271231</v>
      </c>
      <c r="AE45" s="4" t="str">
        <v>3|BIORITMO|-|20291103</v>
      </c>
      <c r="AF45" s="4"/>
    </row>
    <row r="46" spans="1:32" x14ac:dyDescent="0.2">
      <c r="A46" s="5">
        <v>2</v>
      </c>
      <c r="B46" s="22" t="s">
        <v>54</v>
      </c>
      <c r="C46" s="6" t="s">
        <v>54</v>
      </c>
      <c r="D46" s="6" t="s">
        <v>6</v>
      </c>
      <c r="E46" s="5">
        <v>201</v>
      </c>
      <c r="F46" s="22" t="s">
        <v>55</v>
      </c>
      <c r="G46" s="9" t="s">
        <v>9</v>
      </c>
      <c r="H46" s="9" t="s">
        <v>9</v>
      </c>
      <c r="I46" s="22" t="s">
        <v>5</v>
      </c>
      <c r="L46" s="18">
        <v>63.48</v>
      </c>
      <c r="M46" s="19">
        <v>0</v>
      </c>
      <c r="N46" s="18">
        <v>0</v>
      </c>
      <c r="T46" s="4" t="str">
        <v>Estacionamientos</v>
      </c>
      <c r="U46" s="4" t="str">
        <v xml:space="preserve">BLACK ROCK </v>
      </c>
      <c r="V46" s="10" t="str" cm="1">
        <f t="array" ref="V46">IF(INDEX(_xlfn.ANCHORARRAY($AE$2),ROW()-6)="","",_xlfn.TEXTJOIN(", ",TRUE,IF($AD$2:$AD$757=INDEX(_xlfn.ANCHORARRAY($AE$2),ROW()-6),$E$2:$E$757,"")))</f>
        <v>101</v>
      </c>
      <c r="W46" s="15" cm="1">
        <f t="array" ref="W46">IF(INDEX(_xlfn.ANCHORARRAY($AE$2),ROW()-6)="","",SUMIFS($L$2:$L$757,$AD$2:$AD$757,INDEX(_xlfn.ANCHORARRAY($AE$2),ROW()-6)))</f>
        <v>173.69</v>
      </c>
      <c r="X46" s="16" t="str" cm="1">
        <f t="array" ref="X46">IF(INDEX(_xlfn.ANCHORARRAY($AE$2),ROW()-6)="","",IFERROR(_xlfn.XLOOKUP(INDEX(_xlfn.ANCHORARRAY($AE$2),ROW()-6),$AD$2:$AD$757,$G$2:$G$757),""))</f>
        <v>-</v>
      </c>
      <c r="Y46" s="16" cm="1">
        <f t="array" ref="Y46">IF(INDEX(_xlfn.ANCHORARRAY($AE$2),ROW()-6)="","",IFERROR(_xlfn.XLOOKUP(INDEX(_xlfn.ANCHORARRAY($AE$2),ROW()-6),$AD$2:$AD$757,$H$2:$H$757),""))</f>
        <v>46676</v>
      </c>
      <c r="Z46" s="15" cm="1">
        <f t="array" ref="Z46">IF(INDEX(_xlfn.ANCHORARRAY($AE$2),ROW()-6)="","",SUMIFS($N$2:$N$757,$AD$2:$AD$757,INDEX(_xlfn.ANCHORARRAY($AE$2),ROW()-6)))</f>
        <v>347.38</v>
      </c>
      <c r="AA46" s="17" cm="1">
        <f t="array" ref="AA46">IF(OR(INDEX(_xlfn.ANCHORARRAY($AE$2),ROW()-6)="",W46=0,LEFT(INDEX(_xlfn.ANCHORARRAY($AE$2),ROW()-6),1)="3",LEFT(INDEX(_xlfn.ANCHORARRAY($AE$2),ROW()-6),1)="4"),IF(INDEX(_xlfn.ANCHORARRAY($AE$2),ROW()-6)="","","-"),Z46/W46)</f>
        <v>2</v>
      </c>
      <c r="AB46" s="4"/>
      <c r="AC46" s="4"/>
      <c r="AD46" s="20" t="str">
        <f>IF((B46="")+(B46="Vacante")+(D46=""),"",IFERROR(MATCH(D46,{"Oficinas";"Locales";"Estacionamientos";"Bodegas"},0),5)&amp;"|"&amp;B46&amp;"|"&amp;TEXT(G46,"yyyymmdd")&amp;"|"&amp;TEXT(H46,"yyyymmdd"))</f>
        <v>1|COMMON SPACE|-|-</v>
      </c>
      <c r="AE46" s="4" t="str">
        <v>3|BLACK ROCK |20260101|20270630</v>
      </c>
      <c r="AF46" s="4"/>
    </row>
    <row r="47" spans="1:32" x14ac:dyDescent="0.2">
      <c r="A47" s="5">
        <v>2</v>
      </c>
      <c r="B47" s="22" t="s">
        <v>56</v>
      </c>
      <c r="C47" s="6" t="s">
        <v>56</v>
      </c>
      <c r="D47" s="6" t="s">
        <v>6</v>
      </c>
      <c r="E47" s="5">
        <v>201</v>
      </c>
      <c r="F47" s="22" t="s">
        <v>52</v>
      </c>
      <c r="G47" s="9" t="s">
        <v>9</v>
      </c>
      <c r="H47" s="9">
        <v>47497</v>
      </c>
      <c r="I47" s="22" t="s">
        <v>5</v>
      </c>
      <c r="L47" s="18">
        <v>281.79000000000002</v>
      </c>
      <c r="M47" s="19">
        <v>0.54</v>
      </c>
      <c r="N47" s="18">
        <v>152.16660000000002</v>
      </c>
      <c r="T47" s="4" t="str">
        <v>Estacionamientos</v>
      </c>
      <c r="U47" s="4" t="str">
        <v xml:space="preserve">BOEHRINGER </v>
      </c>
      <c r="V47" s="10" t="str" cm="1">
        <f t="array" ref="V47">IF(INDEX(_xlfn.ANCHORARRAY($AE$2),ROW()-6)="","",_xlfn.TEXTJOIN(", ",TRUE,IF($AD$2:$AD$757=INDEX(_xlfn.ANCHORARRAY($AE$2),ROW()-6),$E$2:$E$757,"")))</f>
        <v>6013, 6122, 6123, 6124, 6125</v>
      </c>
      <c r="W47" s="15" cm="1">
        <f t="array" ref="W47">IF(INDEX(_xlfn.ANCHORARRAY($AE$2),ROW()-6)="","",SUMIFS($L$2:$L$757,$AD$2:$AD$757,INDEX(_xlfn.ANCHORARRAY($AE$2),ROW()-6)))</f>
        <v>5</v>
      </c>
      <c r="X47" s="16" t="str" cm="1">
        <f t="array" ref="X47">IF(INDEX(_xlfn.ANCHORARRAY($AE$2),ROW()-6)="","",IFERROR(_xlfn.XLOOKUP(INDEX(_xlfn.ANCHORARRAY($AE$2),ROW()-6),$AD$2:$AD$757,$G$2:$G$757),""))</f>
        <v>-</v>
      </c>
      <c r="Y47" s="16" cm="1">
        <f t="array" ref="Y47">IF(INDEX(_xlfn.ANCHORARRAY($AE$2),ROW()-6)="","",IFERROR(_xlfn.XLOOKUP(INDEX(_xlfn.ANCHORARRAY($AE$2),ROW()-6),$AD$2:$AD$757,$H$2:$H$757),""))</f>
        <v>47542</v>
      </c>
      <c r="Z47" s="15" cm="1">
        <f t="array" ref="Z47">IF(INDEX(_xlfn.ANCHORARRAY($AE$2),ROW()-6)="","",SUMIFS($N$2:$N$757,$AD$2:$AD$757,INDEX(_xlfn.ANCHORARRAY($AE$2),ROW()-6)))</f>
        <v>21.5</v>
      </c>
      <c r="AA47" s="17" t="str" cm="1">
        <f t="array" ref="AA47">IF(OR(INDEX(_xlfn.ANCHORARRAY($AE$2),ROW()-6)="",W47=0,LEFT(INDEX(_xlfn.ANCHORARRAY($AE$2),ROW()-6),1)="3",LEFT(INDEX(_xlfn.ANCHORARRAY($AE$2),ROW()-6),1)="4"),IF(INDEX(_xlfn.ANCHORARRAY($AE$2),ROW()-6)="","","-"),Z47/W47)</f>
        <v>-</v>
      </c>
      <c r="AB47" s="4"/>
      <c r="AC47" s="4"/>
      <c r="AD47" s="20" t="str">
        <f>IF((B47="")+(B47="Vacante")+(D47=""),"",IFERROR(MATCH(D47,{"Oficinas";"Locales";"Estacionamientos";"Bodegas"},0),5)&amp;"|"&amp;B47&amp;"|"&amp;TEXT(G47,"yyyymmdd")&amp;"|"&amp;TEXT(H47,"yyyymmdd"))</f>
        <v>1|SEBASTIAN FERRER ESCUELA SPA|-|20300114</v>
      </c>
      <c r="AE47" s="4" t="str">
        <v>3|BOEHRINGER |-|20290430</v>
      </c>
      <c r="AF47" s="4"/>
    </row>
    <row r="48" spans="1:32" x14ac:dyDescent="0.2">
      <c r="A48" s="5">
        <v>2</v>
      </c>
      <c r="B48" s="22" t="s">
        <v>196</v>
      </c>
      <c r="C48" s="6" t="s">
        <v>57</v>
      </c>
      <c r="D48" s="6" t="s">
        <v>7</v>
      </c>
      <c r="E48" s="5">
        <v>201</v>
      </c>
      <c r="F48" s="22" t="s">
        <v>53</v>
      </c>
      <c r="G48" s="9" t="s">
        <v>9</v>
      </c>
      <c r="H48" s="9" t="s">
        <v>58</v>
      </c>
      <c r="I48" s="22" t="s">
        <v>5</v>
      </c>
      <c r="L48" s="18">
        <v>284.38</v>
      </c>
      <c r="M48" s="19">
        <v>0</v>
      </c>
      <c r="N48" s="18">
        <v>0</v>
      </c>
      <c r="T48" s="4" t="str">
        <v>Estacionamientos</v>
      </c>
      <c r="U48" s="4" t="str">
        <v>CENTRAL PARKIING SYSTEM CHILE</v>
      </c>
      <c r="V48" s="10" t="str" cm="1">
        <f t="array" ref="V48">IF(INDEX(_xlfn.ANCHORARRAY($AE$2),ROW()-6)="","",_xlfn.TEXTJOIN(", ",TRUE,IF($AD$2:$AD$757=INDEX(_xlfn.ANCHORARRAY($AE$2),ROW()-6),$E$2:$E$757,"")))</f>
        <v>6056, 6057, 6058, 6059, 6077, 6078, 6079, 6080, 6081, 6082</v>
      </c>
      <c r="W48" s="15" cm="1">
        <f t="array" ref="W48">IF(INDEX(_xlfn.ANCHORARRAY($AE$2),ROW()-6)="","",SUMIFS($L$2:$L$757,$AD$2:$AD$757,INDEX(_xlfn.ANCHORARRAY($AE$2),ROW()-6)))</f>
        <v>10</v>
      </c>
      <c r="X48" s="16" cm="1">
        <f t="array" ref="X48">IF(INDEX(_xlfn.ANCHORARRAY($AE$2),ROW()-6)="","",IFERROR(_xlfn.XLOOKUP(INDEX(_xlfn.ANCHORARRAY($AE$2),ROW()-6),$AD$2:$AD$757,$G$2:$G$757),""))</f>
        <v>46112</v>
      </c>
      <c r="Y48" s="16" cm="1">
        <f t="array" ref="Y48">IF(INDEX(_xlfn.ANCHORARRAY($AE$2),ROW()-6)="","",IFERROR(_xlfn.XLOOKUP(INDEX(_xlfn.ANCHORARRAY($AE$2),ROW()-6),$AD$2:$AD$757,$H$2:$H$757),""))</f>
        <v>46843</v>
      </c>
      <c r="Z48" s="15" cm="1">
        <f t="array" ref="Z48">IF(INDEX(_xlfn.ANCHORARRAY($AE$2),ROW()-6)="","",SUMIFS($N$2:$N$757,$AD$2:$AD$757,INDEX(_xlfn.ANCHORARRAY($AE$2),ROW()-6)))</f>
        <v>42.999999999999993</v>
      </c>
      <c r="AA48" s="17" t="str" cm="1">
        <f t="array" ref="AA48">IF(OR(INDEX(_xlfn.ANCHORARRAY($AE$2),ROW()-6)="",W48=0,LEFT(INDEX(_xlfn.ANCHORARRAY($AE$2),ROW()-6),1)="3",LEFT(INDEX(_xlfn.ANCHORARRAY($AE$2),ROW()-6),1)="4"),IF(INDEX(_xlfn.ANCHORARRAY($AE$2),ROW()-6)="","","-"),Z48/W48)</f>
        <v>-</v>
      </c>
      <c r="AB48" s="4"/>
      <c r="AC48" s="4"/>
      <c r="AD48" s="20" t="str">
        <f>IF((B48="")+(B48="Vacante")+(D48=""),"",IFERROR(MATCH(D48,{"Oficinas";"Locales";"Estacionamientos";"Bodegas"},0),5)&amp;"|"&amp;B48&amp;"|"&amp;TEXT(G48,"yyyymmdd")&amp;"|"&amp;TEXT(H48,"yyyymmdd"))</f>
        <v>2|EAGLE CLUB|-|May 31, 2030</v>
      </c>
      <c r="AE48" s="4" t="str">
        <v>3|CENTRAL PARKIING SYSTEM CHILE|-|20260228</v>
      </c>
      <c r="AF48" s="4"/>
    </row>
    <row r="49" spans="1:32" x14ac:dyDescent="0.2">
      <c r="A49" s="5">
        <v>2</v>
      </c>
      <c r="B49" s="22" t="s">
        <v>197</v>
      </c>
      <c r="C49" s="6" t="s">
        <v>59</v>
      </c>
      <c r="D49" s="6" t="s">
        <v>6</v>
      </c>
      <c r="E49" s="5">
        <v>203</v>
      </c>
      <c r="F49" s="22"/>
      <c r="G49" s="9">
        <v>47261</v>
      </c>
      <c r="H49" s="9" t="s">
        <v>60</v>
      </c>
      <c r="I49" s="22" t="s">
        <v>5</v>
      </c>
      <c r="L49" s="18">
        <v>263</v>
      </c>
      <c r="M49" s="19">
        <v>0</v>
      </c>
      <c r="N49" s="18">
        <v>0</v>
      </c>
      <c r="T49" s="4" t="str">
        <v>Estacionamientos</v>
      </c>
      <c r="U49" s="4" t="str">
        <v>CONTOURGLOBAL</v>
      </c>
      <c r="V49" s="10" t="str" cm="1">
        <f t="array" ref="V49">IF(INDEX(_xlfn.ANCHORARRAY($AE$2),ROW()-6)="","",_xlfn.TEXTJOIN(", ",TRUE,IF($AD$2:$AD$757=INDEX(_xlfn.ANCHORARRAY($AE$2),ROW()-6),$E$2:$E$757,"")))</f>
        <v>6032, 6033, 6034, 6035, 6036, 6037, 6038, 6039, 6040, 6041, 6042, 6043, 6044, 6045, 6046, 6047, 6048, 6049, 6050, 6051</v>
      </c>
      <c r="W49" s="15" cm="1">
        <f t="array" ref="W49">IF(INDEX(_xlfn.ANCHORARRAY($AE$2),ROW()-6)="","",SUMIFS($L$2:$L$757,$AD$2:$AD$757,INDEX(_xlfn.ANCHORARRAY($AE$2),ROW()-6)))</f>
        <v>20</v>
      </c>
      <c r="X49" s="16" cm="1">
        <f t="array" ref="X49">IF(INDEX(_xlfn.ANCHORARRAY($AE$2),ROW()-6)="","",IFERROR(_xlfn.XLOOKUP(INDEX(_xlfn.ANCHORARRAY($AE$2),ROW()-6),$AD$2:$AD$757,$G$2:$G$757),""))</f>
        <v>46284</v>
      </c>
      <c r="Y49" s="16" cm="1">
        <f t="array" ref="Y49">IF(INDEX(_xlfn.ANCHORARRAY($AE$2),ROW()-6)="","",IFERROR(_xlfn.XLOOKUP(INDEX(_xlfn.ANCHORARRAY($AE$2),ROW()-6),$AD$2:$AD$757,$H$2:$H$757),""))</f>
        <v>48201</v>
      </c>
      <c r="Z49" s="15" cm="1">
        <f t="array" ref="Z49">IF(INDEX(_xlfn.ANCHORARRAY($AE$2),ROW()-6)="","",SUMIFS($N$2:$N$757,$AD$2:$AD$757,INDEX(_xlfn.ANCHORARRAY($AE$2),ROW()-6)))</f>
        <v>85.999999999999972</v>
      </c>
      <c r="AA49" s="17" t="str" cm="1">
        <f t="array" ref="AA49">IF(OR(INDEX(_xlfn.ANCHORARRAY($AE$2),ROW()-6)="",W49=0,LEFT(INDEX(_xlfn.ANCHORARRAY($AE$2),ROW()-6),1)="3",LEFT(INDEX(_xlfn.ANCHORARRAY($AE$2),ROW()-6),1)="4"),IF(INDEX(_xlfn.ANCHORARRAY($AE$2),ROW()-6)="","","-"),Z49/W49)</f>
        <v>-</v>
      </c>
      <c r="AB49" s="4"/>
      <c r="AC49" s="4"/>
      <c r="AD49" s="20" t="str">
        <f>IF((B49="")+(B49="Vacante")+(D49=""),"",IFERROR(MATCH(D49,{"Oficinas";"Locales";"Estacionamientos";"Bodegas"},0),5)&amp;"|"&amp;B49&amp;"|"&amp;TEXT(G49,"yyyymmdd")&amp;"|"&amp;TEXT(H49,"yyyymmdd"))</f>
        <v>1|TURKISH AIRLINES|20290523|June 22, 2031</v>
      </c>
      <c r="AE49" s="4" t="str">
        <v>3|CONTOURGLOBAL|-|20300730</v>
      </c>
      <c r="AF49" s="4"/>
    </row>
    <row r="50" spans="1:32" x14ac:dyDescent="0.2">
      <c r="A50" s="5">
        <v>2</v>
      </c>
      <c r="B50" s="22" t="s">
        <v>198</v>
      </c>
      <c r="C50" s="6" t="s">
        <v>61</v>
      </c>
      <c r="D50" s="6" t="s">
        <v>6</v>
      </c>
      <c r="E50" s="5">
        <v>204</v>
      </c>
      <c r="F50" s="22"/>
      <c r="G50" s="9">
        <v>46522</v>
      </c>
      <c r="H50" s="9">
        <v>47361</v>
      </c>
      <c r="I50" s="22" t="s">
        <v>5</v>
      </c>
      <c r="L50" s="18">
        <v>558</v>
      </c>
      <c r="M50" s="19">
        <v>0.5</v>
      </c>
      <c r="N50" s="18">
        <v>279</v>
      </c>
      <c r="T50" s="4" t="str">
        <v>Estacionamientos</v>
      </c>
      <c r="U50" s="4" t="str">
        <v>DEUTSCHE PHARMA</v>
      </c>
      <c r="V50" s="10" t="str" cm="1">
        <f t="array" ref="V50">IF(INDEX(_xlfn.ANCHORARRAY($AE$2),ROW()-6)="","",_xlfn.TEXTJOIN(", ",TRUE,IF($AD$2:$AD$757=INDEX(_xlfn.ANCHORARRAY($AE$2),ROW()-6),$E$2:$E$757,"")))</f>
        <v>6118, 6119, 7118, 7119, 7126</v>
      </c>
      <c r="W50" s="15" cm="1">
        <f t="array" ref="W50">IF(INDEX(_xlfn.ANCHORARRAY($AE$2),ROW()-6)="","",SUMIFS($L$2:$L$757,$AD$2:$AD$757,INDEX(_xlfn.ANCHORARRAY($AE$2),ROW()-6)))</f>
        <v>5</v>
      </c>
      <c r="X50" s="16" t="str" cm="1">
        <f t="array" ref="X50">IF(INDEX(_xlfn.ANCHORARRAY($AE$2),ROW()-6)="","",IFERROR(_xlfn.XLOOKUP(INDEX(_xlfn.ANCHORARRAY($AE$2),ROW()-6),$AD$2:$AD$757,$G$2:$G$757),""))</f>
        <v>-</v>
      </c>
      <c r="Y50" s="16" cm="1">
        <f t="array" ref="Y50">IF(INDEX(_xlfn.ANCHORARRAY($AE$2),ROW()-6)="","",IFERROR(_xlfn.XLOOKUP(INDEX(_xlfn.ANCHORARRAY($AE$2),ROW()-6),$AD$2:$AD$757,$H$2:$H$757),""))</f>
        <v>47425</v>
      </c>
      <c r="Z50" s="15" cm="1">
        <f t="array" ref="Z50">IF(INDEX(_xlfn.ANCHORARRAY($AE$2),ROW()-6)="","",SUMIFS($N$2:$N$757,$AD$2:$AD$757,INDEX(_xlfn.ANCHORARRAY($AE$2),ROW()-6)))</f>
        <v>30.879999999999995</v>
      </c>
      <c r="AA50" s="17" t="str" cm="1">
        <f t="array" ref="AA50">IF(OR(INDEX(_xlfn.ANCHORARRAY($AE$2),ROW()-6)="",W50=0,LEFT(INDEX(_xlfn.ANCHORARRAY($AE$2),ROW()-6),1)="3",LEFT(INDEX(_xlfn.ANCHORARRAY($AE$2),ROW()-6),1)="4"),IF(INDEX(_xlfn.ANCHORARRAY($AE$2),ROW()-6)="","","-"),Z50/W50)</f>
        <v>-</v>
      </c>
      <c r="AB50" s="4"/>
      <c r="AC50" s="4"/>
      <c r="AD50" s="20" t="str">
        <f>IF((B50="")+(B50="Vacante")+(D50=""),"",IFERROR(MATCH(D50,{"Oficinas";"Locales";"Estacionamientos";"Bodegas"},0),5)&amp;"|"&amp;B50&amp;"|"&amp;TEXT(G50,"yyyymmdd")&amp;"|"&amp;TEXT(H50,"yyyymmdd"))</f>
        <v>1|DEUTSCHE PHARMA|20270515|20290831</v>
      </c>
      <c r="AE50" s="4" t="str">
        <v>3|DEUTSCHE PHARMA|20270515|20290831</v>
      </c>
      <c r="AF50" s="4"/>
    </row>
    <row r="51" spans="1:32" x14ac:dyDescent="0.2">
      <c r="A51" s="5">
        <v>2</v>
      </c>
      <c r="B51" s="22" t="s">
        <v>4</v>
      </c>
      <c r="C51" s="6" t="s">
        <v>4</v>
      </c>
      <c r="D51" s="6" t="s">
        <v>7</v>
      </c>
      <c r="E51" s="5">
        <v>203</v>
      </c>
      <c r="F51" s="22" t="s">
        <v>50</v>
      </c>
      <c r="G51" s="9" t="s">
        <v>9</v>
      </c>
      <c r="H51" s="9" t="s">
        <v>9</v>
      </c>
      <c r="I51" s="22" t="s">
        <v>5</v>
      </c>
      <c r="L51" s="18">
        <v>38.75</v>
      </c>
      <c r="M51" s="19">
        <v>0</v>
      </c>
      <c r="N51" s="18">
        <v>0</v>
      </c>
      <c r="T51" s="4" t="str">
        <v>Estacionamientos</v>
      </c>
      <c r="U51" s="4" t="str">
        <v>DEVON</v>
      </c>
      <c r="V51" s="10" t="str" cm="1">
        <f t="array" ref="V51">IF(INDEX(_xlfn.ANCHORARRAY($AE$2),ROW()-6)="","",_xlfn.TEXTJOIN(", ",TRUE,IF($AD$2:$AD$757=INDEX(_xlfn.ANCHORARRAY($AE$2),ROW()-6),$E$2:$E$757,"")))</f>
        <v>6091, 6092, 6093, 7104, 7105, 7106, 7107, 7108, 7109, 7110, 7111, 7112</v>
      </c>
      <c r="W51" s="15" cm="1">
        <f t="array" ref="W51">IF(INDEX(_xlfn.ANCHORARRAY($AE$2),ROW()-6)="","",SUMIFS($L$2:$L$757,$AD$2:$AD$757,INDEX(_xlfn.ANCHORARRAY($AE$2),ROW()-6)))</f>
        <v>12</v>
      </c>
      <c r="X51" s="16" cm="1">
        <f t="array" ref="X51">IF(INDEX(_xlfn.ANCHORARRAY($AE$2),ROW()-6)="","",IFERROR(_xlfn.XLOOKUP(INDEX(_xlfn.ANCHORARRAY($AE$2),ROW()-6),$AD$2:$AD$757,$G$2:$G$757),""))</f>
        <v>46023</v>
      </c>
      <c r="Y51" s="16" cm="1">
        <f t="array" ref="Y51">IF(INDEX(_xlfn.ANCHORARRAY($AE$2),ROW()-6)="","",IFERROR(_xlfn.XLOOKUP(INDEX(_xlfn.ANCHORARRAY($AE$2),ROW()-6),$AD$2:$AD$757,$H$2:$H$757),""))</f>
        <v>46568</v>
      </c>
      <c r="Z51" s="15" cm="1">
        <f t="array" ref="Z51">IF(INDEX(_xlfn.ANCHORARRAY($AE$2),ROW()-6)="","",SUMIFS($N$2:$N$757,$AD$2:$AD$757,INDEX(_xlfn.ANCHORARRAY($AE$2),ROW()-6)))</f>
        <v>51.599999999999987</v>
      </c>
      <c r="AA51" s="17" t="str" cm="1">
        <f t="array" ref="AA51">IF(OR(INDEX(_xlfn.ANCHORARRAY($AE$2),ROW()-6)="",W51=0,LEFT(INDEX(_xlfn.ANCHORARRAY($AE$2),ROW()-6),1)="3",LEFT(INDEX(_xlfn.ANCHORARRAY($AE$2),ROW()-6),1)="4"),IF(INDEX(_xlfn.ANCHORARRAY($AE$2),ROW()-6)="","","-"),Z51/W51)</f>
        <v>-</v>
      </c>
      <c r="AB51" s="4"/>
      <c r="AC51" s="4"/>
      <c r="AD51" s="20" t="str">
        <f>IF((B51="")+(B51="Vacante")+(D51=""),"",IFERROR(MATCH(D51,{"Oficinas";"Locales";"Estacionamientos";"Bodegas"},0),5)&amp;"|"&amp;B51&amp;"|"&amp;TEXT(G51,"yyyymmdd")&amp;"|"&amp;TEXT(H51,"yyyymmdd"))</f>
        <v/>
      </c>
      <c r="AE51" s="4" t="str">
        <v>3|DEVON|-|20260719</v>
      </c>
      <c r="AF51" s="4"/>
    </row>
    <row r="52" spans="1:32" x14ac:dyDescent="0.2">
      <c r="A52" s="5">
        <v>2</v>
      </c>
      <c r="B52" s="22" t="s">
        <v>209</v>
      </c>
      <c r="C52" s="6" t="s">
        <v>62</v>
      </c>
      <c r="D52" s="6" t="s">
        <v>8</v>
      </c>
      <c r="E52" s="5">
        <v>202</v>
      </c>
      <c r="F52" s="22" t="s">
        <v>63</v>
      </c>
      <c r="G52" s="9" t="s">
        <v>9</v>
      </c>
      <c r="H52" s="9" t="s">
        <v>9</v>
      </c>
      <c r="I52" s="22" t="s">
        <v>2</v>
      </c>
      <c r="L52" s="18">
        <v>18.37</v>
      </c>
      <c r="M52" s="19">
        <v>0</v>
      </c>
      <c r="N52" s="18">
        <v>0</v>
      </c>
      <c r="T52" s="4" t="str">
        <v>Estacionamientos</v>
      </c>
      <c r="U52" s="4" t="str">
        <v>EAGLE CLUB</v>
      </c>
      <c r="V52" s="10" t="str" cm="1">
        <f t="array" ref="V52">IF(INDEX(_xlfn.ANCHORARRAY($AE$2),ROW()-6)="","",_xlfn.TEXTJOIN(", ",TRUE,IF($AD$2:$AD$757=INDEX(_xlfn.ANCHORARRAY($AE$2),ROW()-6),$E$2:$E$757,"")))</f>
        <v>6030, 6031, 6052, 6054, 6055, 6060, 6061, 6085, 6086, 6089, 6094, 6095, 6096, 6097, 6098, 6099, 6100, 6101, 6102, 6103, 6104, 6105, 6113, 6114, 6115, 6116, 6117, 6127, 6128, 6140</v>
      </c>
      <c r="W52" s="15" cm="1">
        <f t="array" ref="W52">IF(INDEX(_xlfn.ANCHORARRAY($AE$2),ROW()-6)="","",SUMIFS($L$2:$L$757,$AD$2:$AD$757,INDEX(_xlfn.ANCHORARRAY($AE$2),ROW()-6)))</f>
        <v>30</v>
      </c>
      <c r="X52" s="16" t="str" cm="1">
        <f t="array" ref="X52">IF(INDEX(_xlfn.ANCHORARRAY($AE$2),ROW()-6)="","",IFERROR(_xlfn.XLOOKUP(INDEX(_xlfn.ANCHORARRAY($AE$2),ROW()-6),$AD$2:$AD$757,$G$2:$G$757),""))</f>
        <v>-</v>
      </c>
      <c r="Y52" s="16" cm="1">
        <f t="array" ref="Y52">IF(INDEX(_xlfn.ANCHORARRAY($AE$2),ROW()-6)="","",IFERROR(_xlfn.XLOOKUP(INDEX(_xlfn.ANCHORARRAY($AE$2),ROW()-6),$AD$2:$AD$757,$H$2:$H$757),""))</f>
        <v>47238</v>
      </c>
      <c r="Z52" s="15" cm="1">
        <f t="array" ref="Z52">IF(INDEX(_xlfn.ANCHORARRAY($AE$2),ROW()-6)="","",SUMIFS($N$2:$N$757,$AD$2:$AD$757,INDEX(_xlfn.ANCHORARRAY($AE$2),ROW()-6)))</f>
        <v>130</v>
      </c>
      <c r="AA52" s="17" t="str" cm="1">
        <f t="array" ref="AA52">IF(OR(INDEX(_xlfn.ANCHORARRAY($AE$2),ROW()-6)="",W52=0,LEFT(INDEX(_xlfn.ANCHORARRAY($AE$2),ROW()-6),1)="3",LEFT(INDEX(_xlfn.ANCHORARRAY($AE$2),ROW()-6),1)="4"),IF(INDEX(_xlfn.ANCHORARRAY($AE$2),ROW()-6)="","","-"),Z52/W52)</f>
        <v>-</v>
      </c>
      <c r="AB52" s="4"/>
      <c r="AC52" s="4"/>
      <c r="AD52" s="20" t="str">
        <f>IF((B52="")+(B52="Vacante")+(D52=""),"",IFERROR(MATCH(D52,{"Oficinas";"Locales";"Estacionamientos";"Bodegas"},0),5)&amp;"|"&amp;B52&amp;"|"&amp;TEXT(G52,"yyyymmdd")&amp;"|"&amp;TEXT(H52,"yyyymmdd"))</f>
        <v>4|URBANA|-|-</v>
      </c>
      <c r="AE52" s="4" t="str">
        <v>3|EAGLE CLUB|-|20300531</v>
      </c>
      <c r="AF52" s="4"/>
    </row>
    <row r="53" spans="1:32" x14ac:dyDescent="0.2">
      <c r="A53" s="5">
        <v>1</v>
      </c>
      <c r="B53" s="22" t="s">
        <v>64</v>
      </c>
      <c r="C53" s="6" t="s">
        <v>64</v>
      </c>
      <c r="D53" s="6" t="s">
        <v>7</v>
      </c>
      <c r="E53" s="5">
        <v>101</v>
      </c>
      <c r="F53" s="22"/>
      <c r="G53" s="9" t="s">
        <v>9</v>
      </c>
      <c r="H53" s="9">
        <v>46676</v>
      </c>
      <c r="I53" s="22" t="s">
        <v>5</v>
      </c>
      <c r="L53" s="18">
        <v>173.69</v>
      </c>
      <c r="M53" s="19">
        <v>2</v>
      </c>
      <c r="N53" s="18">
        <v>347.38</v>
      </c>
      <c r="T53" s="4" t="str">
        <v>Estacionamientos</v>
      </c>
      <c r="U53" s="4" t="str">
        <v>GLOBALFLEX</v>
      </c>
      <c r="V53" s="10" t="str" cm="1">
        <f t="array" ref="V53">IF(INDEX(_xlfn.ANCHORARRAY($AE$2),ROW()-6)="","",_xlfn.TEXTJOIN(", ",TRUE,IF($AD$2:$AD$757=INDEX(_xlfn.ANCHORARRAY($AE$2),ROW()-6),$E$2:$E$757,"")))</f>
        <v>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</v>
      </c>
      <c r="W53" s="15" cm="1">
        <f t="array" ref="W53">IF(INDEX(_xlfn.ANCHORARRAY($AE$2),ROW()-6)="","",SUMIFS($L$2:$L$757,$AD$2:$AD$757,INDEX(_xlfn.ANCHORARRAY($AE$2),ROW()-6)))</f>
        <v>272</v>
      </c>
      <c r="X53" s="16" t="str" cm="1">
        <f t="array" ref="X53">IF(INDEX(_xlfn.ANCHORARRAY($AE$2),ROW()-6)="","",IFERROR(_xlfn.XLOOKUP(INDEX(_xlfn.ANCHORARRAY($AE$2),ROW()-6),$AD$2:$AD$757,$G$2:$G$757),""))</f>
        <v>-</v>
      </c>
      <c r="Y53" s="16" cm="1">
        <f t="array" ref="Y53">IF(INDEX(_xlfn.ANCHORARRAY($AE$2),ROW()-6)="","",IFERROR(_xlfn.XLOOKUP(INDEX(_xlfn.ANCHORARRAY($AE$2),ROW()-6),$AD$2:$AD$757,$H$2:$H$757),""))</f>
        <v>46081</v>
      </c>
      <c r="Z53" s="15" cm="1">
        <f t="array" ref="Z53">IF(INDEX(_xlfn.ANCHORARRAY($AE$2),ROW()-6)="","",SUMIFS($N$2:$N$757,$AD$2:$AD$757,INDEX(_xlfn.ANCHORARRAY($AE$2),ROW()-6)))</f>
        <v>228.48000000000079</v>
      </c>
      <c r="AA53" s="17" t="str" cm="1">
        <f t="array" ref="AA53">IF(OR(INDEX(_xlfn.ANCHORARRAY($AE$2),ROW()-6)="",W53=0,LEFT(INDEX(_xlfn.ANCHORARRAY($AE$2),ROW()-6),1)="3",LEFT(INDEX(_xlfn.ANCHORARRAY($AE$2),ROW()-6),1)="4"),IF(INDEX(_xlfn.ANCHORARRAY($AE$2),ROW()-6)="","","-"),Z53/W53)</f>
        <v>-</v>
      </c>
      <c r="AB53" s="4"/>
      <c r="AC53" s="4"/>
      <c r="AD53" s="20" t="str">
        <f>IF((B53="")+(B53="Vacante")+(D53=""),"",IFERROR(MATCH(D53,{"Oficinas";"Locales";"Estacionamientos";"Bodegas"},0),5)&amp;"|"&amp;B53&amp;"|"&amp;TEXT(G53,"yyyymmdd")&amp;"|"&amp;TEXT(H53,"yyyymmdd"))</f>
        <v>2|VILAPERT|-|20271016</v>
      </c>
      <c r="AE53" s="4" t="str">
        <v>3|GLOBALFLEX|-|20271110</v>
      </c>
      <c r="AF53" s="4"/>
    </row>
    <row r="54" spans="1:32" x14ac:dyDescent="0.2">
      <c r="A54" s="5">
        <v>1</v>
      </c>
      <c r="B54" s="22" t="s">
        <v>4</v>
      </c>
      <c r="C54" s="6" t="s">
        <v>4</v>
      </c>
      <c r="D54" s="6" t="s">
        <v>7</v>
      </c>
      <c r="E54" s="5">
        <v>101</v>
      </c>
      <c r="F54" s="22" t="s">
        <v>50</v>
      </c>
      <c r="G54" s="9" t="s">
        <v>9</v>
      </c>
      <c r="H54" s="9" t="s">
        <v>9</v>
      </c>
      <c r="I54" s="22" t="s">
        <v>5</v>
      </c>
      <c r="L54" s="18">
        <v>49.06</v>
      </c>
      <c r="M54" s="19">
        <v>0</v>
      </c>
      <c r="N54" s="18">
        <v>0</v>
      </c>
      <c r="T54" s="4" t="str">
        <v>Estacionamientos</v>
      </c>
      <c r="U54" s="4" t="str">
        <v>JOHNSON HEALTH TECH</v>
      </c>
      <c r="V54" s="10" t="str" cm="1">
        <f t="array" ref="V54">IF(INDEX(_xlfn.ANCHORARRAY($AE$2),ROW()-6)="","",_xlfn.TEXTJOIN(", ",TRUE,IF($AD$2:$AD$757=INDEX(_xlfn.ANCHORARRAY($AE$2),ROW()-6),$E$2:$E$757,"")))</f>
        <v>5030, 5031, 5032, 5033, 5034, 5035</v>
      </c>
      <c r="W54" s="15" cm="1">
        <f t="array" ref="W54">IF(INDEX(_xlfn.ANCHORARRAY($AE$2),ROW()-6)="","",SUMIFS($L$2:$L$757,$AD$2:$AD$757,INDEX(_xlfn.ANCHORARRAY($AE$2),ROW()-6)))</f>
        <v>6</v>
      </c>
      <c r="X54" s="16" t="str" cm="1">
        <f t="array" ref="X54">IF(INDEX(_xlfn.ANCHORARRAY($AE$2),ROW()-6)="","",IFERROR(_xlfn.XLOOKUP(INDEX(_xlfn.ANCHORARRAY($AE$2),ROW()-6),$AD$2:$AD$757,$G$2:$G$757),""))</f>
        <v>-</v>
      </c>
      <c r="Y54" s="16" cm="1">
        <f t="array" ref="Y54">IF(INDEX(_xlfn.ANCHORARRAY($AE$2),ROW()-6)="","",IFERROR(_xlfn.XLOOKUP(INDEX(_xlfn.ANCHORARRAY($AE$2),ROW()-6),$AD$2:$AD$757,$H$2:$H$757),""))</f>
        <v>47694</v>
      </c>
      <c r="Z54" s="15" cm="1">
        <f t="array" ref="Z54">IF(INDEX(_xlfn.ANCHORARRAY($AE$2),ROW()-6)="","",SUMIFS($N$2:$N$757,$AD$2:$AD$757,INDEX(_xlfn.ANCHORARRAY($AE$2),ROW()-6)))</f>
        <v>25.8</v>
      </c>
      <c r="AA54" s="17" t="str" cm="1">
        <f t="array" ref="AA54">IF(OR(INDEX(_xlfn.ANCHORARRAY($AE$2),ROW()-6)="",W54=0,LEFT(INDEX(_xlfn.ANCHORARRAY($AE$2),ROW()-6),1)="3",LEFT(INDEX(_xlfn.ANCHORARRAY($AE$2),ROW()-6),1)="4"),IF(INDEX(_xlfn.ANCHORARRAY($AE$2),ROW()-6)="","","-"),Z54/W54)</f>
        <v>-</v>
      </c>
      <c r="AB54" s="4"/>
      <c r="AC54" s="4"/>
      <c r="AD54" s="20" t="str">
        <f>IF((B54="")+(B54="Vacante")+(D54=""),"",IFERROR(MATCH(D54,{"Oficinas";"Locales";"Estacionamientos";"Bodegas"},0),5)&amp;"|"&amp;B54&amp;"|"&amp;TEXT(G54,"yyyymmdd")&amp;"|"&amp;TEXT(H54,"yyyymmdd"))</f>
        <v/>
      </c>
      <c r="AE54" s="4" t="str">
        <v>3|JOHNSON HEALTH TECH|-|20300630</v>
      </c>
      <c r="AF54" s="4"/>
    </row>
    <row r="55" spans="1:32" x14ac:dyDescent="0.2">
      <c r="A55" s="5">
        <v>1</v>
      </c>
      <c r="B55" s="22" t="s">
        <v>203</v>
      </c>
      <c r="C55" s="6" t="s">
        <v>65</v>
      </c>
      <c r="D55" s="6" t="s">
        <v>7</v>
      </c>
      <c r="E55" s="5">
        <v>102</v>
      </c>
      <c r="F55" s="22"/>
      <c r="G55" s="9">
        <v>46284</v>
      </c>
      <c r="H55" s="9">
        <v>48201</v>
      </c>
      <c r="I55" s="22" t="s">
        <v>5</v>
      </c>
      <c r="L55" s="18">
        <v>268.55</v>
      </c>
      <c r="M55" s="19">
        <v>1.5</v>
      </c>
      <c r="N55" s="18">
        <v>402.82500000000005</v>
      </c>
      <c r="T55" s="4" t="str">
        <v>Estacionamientos</v>
      </c>
      <c r="U55" s="4" t="str">
        <v>KAUFMANN</v>
      </c>
      <c r="V55" s="10" t="str" cm="1">
        <f t="array" ref="V55">IF(INDEX(_xlfn.ANCHORARRAY($AE$2),ROW()-6)="","",_xlfn.TEXTJOIN(", ",TRUE,IF($AD$2:$AD$757=INDEX(_xlfn.ANCHORARRAY($AE$2),ROW()-6),$E$2:$E$757,"")))</f>
        <v>5009, 5010, 5011, 5012, 5042, 6023, 6136, 6137, 6138, 7023, 7024, 7025, 7132</v>
      </c>
      <c r="W55" s="15" cm="1">
        <f t="array" ref="W55">IF(INDEX(_xlfn.ANCHORARRAY($AE$2),ROW()-6)="","",SUMIFS($L$2:$L$757,$AD$2:$AD$757,INDEX(_xlfn.ANCHORARRAY($AE$2),ROW()-6)))</f>
        <v>13</v>
      </c>
      <c r="X55" s="16" cm="1">
        <f t="array" ref="X55">IF(INDEX(_xlfn.ANCHORARRAY($AE$2),ROW()-6)="","",IFERROR(_xlfn.XLOOKUP(INDEX(_xlfn.ANCHORARRAY($AE$2),ROW()-6),$AD$2:$AD$757,$G$2:$G$757),""))</f>
        <v>46522</v>
      </c>
      <c r="Y55" s="16" cm="1">
        <f t="array" ref="Y55">IF(INDEX(_xlfn.ANCHORARRAY($AE$2),ROW()-6)="","",IFERROR(_xlfn.XLOOKUP(INDEX(_xlfn.ANCHORARRAY($AE$2),ROW()-6),$AD$2:$AD$757,$H$2:$H$757),""))</f>
        <v>47361</v>
      </c>
      <c r="Z55" s="15" cm="1">
        <f t="array" ref="Z55">IF(INDEX(_xlfn.ANCHORARRAY($AE$2),ROW()-6)="","",SUMIFS($N$2:$N$757,$AD$2:$AD$757,INDEX(_xlfn.ANCHORARRAY($AE$2),ROW()-6)))</f>
        <v>62</v>
      </c>
      <c r="AA55" s="17" t="str" cm="1">
        <f t="array" ref="AA55">IF(OR(INDEX(_xlfn.ANCHORARRAY($AE$2),ROW()-6)="",W55=0,LEFT(INDEX(_xlfn.ANCHORARRAY($AE$2),ROW()-6),1)="3",LEFT(INDEX(_xlfn.ANCHORARRAY($AE$2),ROW()-6),1)="4"),IF(INDEX(_xlfn.ANCHORARRAY($AE$2),ROW()-6)="","","-"),Z55/W55)</f>
        <v>-</v>
      </c>
      <c r="AB55" s="4"/>
      <c r="AC55" s="4"/>
      <c r="AD55" s="20" t="str">
        <f>IF((B55="")+(B55="Vacante")+(D55=""),"",IFERROR(MATCH(D55,{"Oficinas";"Locales";"Estacionamientos";"Bodegas"},0),5)&amp;"|"&amp;B55&amp;"|"&amp;TEXT(G55,"yyyymmdd")&amp;"|"&amp;TEXT(H55,"yyyymmdd"))</f>
        <v>2|BANCO SANTANDER|20260919|20311219</v>
      </c>
      <c r="AE55" s="4" t="str">
        <v>3|KAUFMANN|-|20280831</v>
      </c>
      <c r="AF55" s="4"/>
    </row>
    <row r="56" spans="1:32" x14ac:dyDescent="0.2">
      <c r="A56" s="5">
        <v>1</v>
      </c>
      <c r="B56" s="22" t="s">
        <v>203</v>
      </c>
      <c r="C56" s="6" t="s">
        <v>65</v>
      </c>
      <c r="D56" s="6" t="s">
        <v>7</v>
      </c>
      <c r="E56" s="5">
        <v>103</v>
      </c>
      <c r="F56" s="22"/>
      <c r="G56" s="9">
        <v>46284</v>
      </c>
      <c r="H56" s="9">
        <v>48201</v>
      </c>
      <c r="I56" s="22" t="s">
        <v>5</v>
      </c>
      <c r="L56" s="18">
        <v>233.27</v>
      </c>
      <c r="M56" s="19">
        <v>1.5</v>
      </c>
      <c r="N56" s="18">
        <v>349.90500000000003</v>
      </c>
      <c r="T56" s="4" t="str">
        <v>Estacionamientos</v>
      </c>
      <c r="U56" s="4" t="str">
        <v xml:space="preserve">LANDMARK </v>
      </c>
      <c r="V56" s="10" t="str" cm="1">
        <f t="array" ref="V56">IF(INDEX(_xlfn.ANCHORARRAY($AE$2),ROW()-6)="","",_xlfn.TEXTJOIN(", ",TRUE,IF($AD$2:$AD$757=INDEX(_xlfn.ANCHORARRAY($AE$2),ROW()-6),$E$2:$E$757,"")))</f>
        <v>6027, 6129, 6130, 7065, 7088, 7089, 7114, 7122, 7123</v>
      </c>
      <c r="W56" s="15" cm="1">
        <f t="array" ref="W56">IF(INDEX(_xlfn.ANCHORARRAY($AE$2),ROW()-6)="","",SUMIFS($L$2:$L$757,$AD$2:$AD$757,INDEX(_xlfn.ANCHORARRAY($AE$2),ROW()-6)))</f>
        <v>9</v>
      </c>
      <c r="X56" s="16" t="str" cm="1">
        <f t="array" ref="X56">IF(INDEX(_xlfn.ANCHORARRAY($AE$2),ROW()-6)="","",IFERROR(_xlfn.XLOOKUP(INDEX(_xlfn.ANCHORARRAY($AE$2),ROW()-6),$AD$2:$AD$757,$G$2:$G$757),""))</f>
        <v>-</v>
      </c>
      <c r="Y56" s="16" cm="1">
        <f t="array" ref="Y56">IF(INDEX(_xlfn.ANCHORARRAY($AE$2),ROW()-6)="","",IFERROR(_xlfn.XLOOKUP(INDEX(_xlfn.ANCHORARRAY($AE$2),ROW()-6),$AD$2:$AD$757,$H$2:$H$757),""))</f>
        <v>46222</v>
      </c>
      <c r="Z56" s="15" cm="1">
        <f t="array" ref="Z56">IF(INDEX(_xlfn.ANCHORARRAY($AE$2),ROW()-6)="","",SUMIFS($N$2:$N$757,$AD$2:$AD$757,INDEX(_xlfn.ANCHORARRAY($AE$2),ROW()-6)))</f>
        <v>31.5</v>
      </c>
      <c r="AA56" s="17" t="str" cm="1">
        <f t="array" ref="AA56">IF(OR(INDEX(_xlfn.ANCHORARRAY($AE$2),ROW()-6)="",W56=0,LEFT(INDEX(_xlfn.ANCHORARRAY($AE$2),ROW()-6),1)="3",LEFT(INDEX(_xlfn.ANCHORARRAY($AE$2),ROW()-6),1)="4"),IF(INDEX(_xlfn.ANCHORARRAY($AE$2),ROW()-6)="","","-"),Z56/W56)</f>
        <v>-</v>
      </c>
      <c r="AB56" s="4"/>
      <c r="AC56" s="4"/>
      <c r="AD56" s="20" t="str">
        <f>IF((B56="")+(B56="Vacante")+(D56=""),"",IFERROR(MATCH(D56,{"Oficinas";"Locales";"Estacionamientos";"Bodegas"},0),5)&amp;"|"&amp;B56&amp;"|"&amp;TEXT(G56,"yyyymmdd")&amp;"|"&amp;TEXT(H56,"yyyymmdd"))</f>
        <v>2|BANCO SANTANDER|20260919|20311219</v>
      </c>
      <c r="AE56" s="4" t="str">
        <v>3|LANDMARK |-|20301214</v>
      </c>
      <c r="AF56" s="4"/>
    </row>
    <row r="57" spans="1:32" x14ac:dyDescent="0.2">
      <c r="A57" s="5">
        <v>1</v>
      </c>
      <c r="B57" s="22" t="s">
        <v>204</v>
      </c>
      <c r="C57" s="6" t="s">
        <v>66</v>
      </c>
      <c r="D57" s="6" t="s">
        <v>7</v>
      </c>
      <c r="E57" s="5">
        <v>104</v>
      </c>
      <c r="F57" s="22"/>
      <c r="G57" s="9" t="s">
        <v>9</v>
      </c>
      <c r="H57" s="9">
        <v>46965</v>
      </c>
      <c r="I57" s="22" t="s">
        <v>5</v>
      </c>
      <c r="L57" s="18">
        <v>32.685000000000002</v>
      </c>
      <c r="M57" s="19">
        <v>1.1499999999999999</v>
      </c>
      <c r="N57" s="18">
        <v>37.58775</v>
      </c>
      <c r="T57" s="4" t="str">
        <v>Estacionamientos</v>
      </c>
      <c r="U57" s="4" t="str">
        <v>NUEVA ZELANDIA</v>
      </c>
      <c r="V57" s="10" t="str" cm="1">
        <f t="array" ref="V57">IF(INDEX(_xlfn.ANCHORARRAY($AE$2),ROW()-6)="","",_xlfn.TEXTJOIN(", ",TRUE,IF($AD$2:$AD$757=INDEX(_xlfn.ANCHORARRAY($AE$2),ROW()-6),$E$2:$E$757,"")))</f>
        <v>7046, 7051</v>
      </c>
      <c r="W57" s="15" cm="1">
        <f t="array" ref="W57">IF(INDEX(_xlfn.ANCHORARRAY($AE$2),ROW()-6)="","",SUMIFS($L$2:$L$757,$AD$2:$AD$757,INDEX(_xlfn.ANCHORARRAY($AE$2),ROW()-6)))</f>
        <v>2</v>
      </c>
      <c r="X57" s="16" t="str" cm="1">
        <f t="array" ref="X57">IF(INDEX(_xlfn.ANCHORARRAY($AE$2),ROW()-6)="","",IFERROR(_xlfn.XLOOKUP(INDEX(_xlfn.ANCHORARRAY($AE$2),ROW()-6),$AD$2:$AD$757,$G$2:$G$757),""))</f>
        <v>-</v>
      </c>
      <c r="Y57" s="16" cm="1">
        <f t="array" ref="Y57">IF(INDEX(_xlfn.ANCHORARRAY($AE$2),ROW()-6)="","",IFERROR(_xlfn.XLOOKUP(INDEX(_xlfn.ANCHORARRAY($AE$2),ROW()-6),$AD$2:$AD$757,$H$2:$H$757),""))</f>
        <v>47634</v>
      </c>
      <c r="Z57" s="15" cm="1">
        <f t="array" ref="Z57">IF(INDEX(_xlfn.ANCHORARRAY($AE$2),ROW()-6)="","",SUMIFS($N$2:$N$757,$AD$2:$AD$757,INDEX(_xlfn.ANCHORARRAY($AE$2),ROW()-6)))</f>
        <v>0</v>
      </c>
      <c r="AA57" s="17" t="str" cm="1">
        <f t="array" ref="AA57">IF(OR(INDEX(_xlfn.ANCHORARRAY($AE$2),ROW()-6)="",W57=0,LEFT(INDEX(_xlfn.ANCHORARRAY($AE$2),ROW()-6),1)="3",LEFT(INDEX(_xlfn.ANCHORARRAY($AE$2),ROW()-6),1)="4"),IF(INDEX(_xlfn.ANCHORARRAY($AE$2),ROW()-6)="","","-"),Z57/W57)</f>
        <v>-</v>
      </c>
      <c r="AB57" s="4"/>
      <c r="AC57" s="4"/>
      <c r="AD57" s="20" t="str">
        <f>IF((B57="")+(B57="Vacante")+(D57=""),"",IFERROR(MATCH(D57,{"Oficinas";"Locales";"Estacionamientos";"Bodegas"},0),5)&amp;"|"&amp;B57&amp;"|"&amp;TEXT(G57,"yyyymmdd")&amp;"|"&amp;TEXT(H57,"yyyymmdd"))</f>
        <v>2|BROOKS BROTHERS|-|20280731</v>
      </c>
      <c r="AE57" s="4" t="str">
        <v>3|NUEVA ZELANDIA|-|20270531</v>
      </c>
      <c r="AF57" s="4"/>
    </row>
    <row r="58" spans="1:32" x14ac:dyDescent="0.2">
      <c r="A58" s="5">
        <v>1</v>
      </c>
      <c r="B58" s="22" t="s">
        <v>205</v>
      </c>
      <c r="C58" s="6" t="s">
        <v>67</v>
      </c>
      <c r="D58" s="6" t="s">
        <v>7</v>
      </c>
      <c r="E58" s="5" t="s">
        <v>68</v>
      </c>
      <c r="F58" s="22"/>
      <c r="G58" s="9" t="s">
        <v>9</v>
      </c>
      <c r="H58" s="9">
        <v>48121</v>
      </c>
      <c r="I58" s="22" t="s">
        <v>5</v>
      </c>
      <c r="L58" s="18">
        <v>28.684999999999999</v>
      </c>
      <c r="M58" s="19">
        <v>1</v>
      </c>
      <c r="N58" s="18">
        <v>28.684999999999999</v>
      </c>
      <c r="T58" s="4" t="str">
        <v>Estacionamientos</v>
      </c>
      <c r="U58" s="4" t="str">
        <v xml:space="preserve">PRICE FORBES </v>
      </c>
      <c r="V58" s="10" t="str" cm="1">
        <f t="array" ref="V58">IF(INDEX(_xlfn.ANCHORARRAY($AE$2),ROW()-6)="","",_xlfn.TEXTJOIN(", ",TRUE,IF($AD$2:$AD$757=INDEX(_xlfn.ANCHORARRAY($AE$2),ROW()-6),$E$2:$E$757,"")))</f>
        <v>5045, 5046, 5047, 5048, 5049, 6028</v>
      </c>
      <c r="W58" s="15" cm="1">
        <f t="array" ref="W58">IF(INDEX(_xlfn.ANCHORARRAY($AE$2),ROW()-6)="","",SUMIFS($L$2:$L$757,$AD$2:$AD$757,INDEX(_xlfn.ANCHORARRAY($AE$2),ROW()-6)))</f>
        <v>6</v>
      </c>
      <c r="X58" s="16" t="str" cm="1">
        <f t="array" ref="X58">IF(INDEX(_xlfn.ANCHORARRAY($AE$2),ROW()-6)="","",IFERROR(_xlfn.XLOOKUP(INDEX(_xlfn.ANCHORARRAY($AE$2),ROW()-6),$AD$2:$AD$757,$G$2:$G$757),""))</f>
        <v>-</v>
      </c>
      <c r="Y58" s="16" cm="1">
        <f t="array" ref="Y58">IF(INDEX(_xlfn.ANCHORARRAY($AE$2),ROW()-6)="","",IFERROR(_xlfn.XLOOKUP(INDEX(_xlfn.ANCHORARRAY($AE$2),ROW()-6),$AD$2:$AD$757,$H$2:$H$757),""))</f>
        <v>46701</v>
      </c>
      <c r="Z58" s="15" cm="1">
        <f t="array" ref="Z58">IF(INDEX(_xlfn.ANCHORARRAY($AE$2),ROW()-6)="","",SUMIFS($N$2:$N$757,$AD$2:$AD$757,INDEX(_xlfn.ANCHORARRAY($AE$2),ROW()-6)))</f>
        <v>26</v>
      </c>
      <c r="AA58" s="17" t="str" cm="1">
        <f t="array" ref="AA58">IF(OR(INDEX(_xlfn.ANCHORARRAY($AE$2),ROW()-6)="",W58=0,LEFT(INDEX(_xlfn.ANCHORARRAY($AE$2),ROW()-6),1)="3",LEFT(INDEX(_xlfn.ANCHORARRAY($AE$2),ROW()-6),1)="4"),IF(INDEX(_xlfn.ANCHORARRAY($AE$2),ROW()-6)="","","-"),Z58/W58)</f>
        <v>-</v>
      </c>
      <c r="AB58" s="4"/>
      <c r="AC58" s="4"/>
      <c r="AD58" s="20" t="str">
        <f>IF((B58="")+(B58="Vacante")+(D58=""),"",IFERROR(MATCH(D58,{"Oficinas";"Locales";"Estacionamientos";"Bodegas"},0),5)&amp;"|"&amp;B58&amp;"|"&amp;TEXT(G58,"yyyymmdd")&amp;"|"&amp;TEXT(H58,"yyyymmdd"))</f>
        <v>2|TENGU|-|20310930</v>
      </c>
      <c r="AE58" s="4" t="str">
        <v>3|PRICE FORBES |20270311|20290310</v>
      </c>
      <c r="AF58" s="4"/>
    </row>
    <row r="59" spans="1:32" x14ac:dyDescent="0.2">
      <c r="A59" s="5">
        <v>1</v>
      </c>
      <c r="B59" s="6" t="s">
        <v>205</v>
      </c>
      <c r="C59" s="6" t="s">
        <v>67</v>
      </c>
      <c r="D59" s="6" t="s">
        <v>7</v>
      </c>
      <c r="E59" s="5" t="s">
        <v>69</v>
      </c>
      <c r="G59" s="9" t="s">
        <v>9</v>
      </c>
      <c r="H59" s="9">
        <v>48121</v>
      </c>
      <c r="I59" s="6" t="s">
        <v>5</v>
      </c>
      <c r="L59" s="18">
        <v>56.12</v>
      </c>
      <c r="M59" s="19">
        <v>1</v>
      </c>
      <c r="N59" s="18">
        <v>56.12</v>
      </c>
      <c r="T59" s="4" t="str">
        <v>Estacionamientos</v>
      </c>
      <c r="U59" s="4" t="str">
        <v xml:space="preserve">PROGARANTIA </v>
      </c>
      <c r="V59" s="10" t="str" cm="1">
        <f t="array" ref="V59">IF(INDEX(_xlfn.ANCHORARRAY($AE$2),ROW()-6)="","",_xlfn.TEXTJOIN(", ",TRUE,IF($AD$2:$AD$757=INDEX(_xlfn.ANCHORARRAY($AE$2),ROW()-6),$E$2:$E$757,"")))</f>
        <v>5036, 5128, 5129, 5130</v>
      </c>
      <c r="W59" s="15" cm="1">
        <f t="array" ref="W59">IF(INDEX(_xlfn.ANCHORARRAY($AE$2),ROW()-6)="","",SUMIFS($L$2:$L$757,$AD$2:$AD$757,INDEX(_xlfn.ANCHORARRAY($AE$2),ROW()-6)))</f>
        <v>4</v>
      </c>
      <c r="X59" s="16" t="str" cm="1">
        <f t="array" ref="X59">IF(INDEX(_xlfn.ANCHORARRAY($AE$2),ROW()-6)="","",IFERROR(_xlfn.XLOOKUP(INDEX(_xlfn.ANCHORARRAY($AE$2),ROW()-6),$AD$2:$AD$757,$G$2:$G$757),""))</f>
        <v>-</v>
      </c>
      <c r="Y59" s="16" cm="1">
        <f t="array" ref="Y59">IF(INDEX(_xlfn.ANCHORARRAY($AE$2),ROW()-6)="","",IFERROR(_xlfn.XLOOKUP(INDEX(_xlfn.ANCHORARRAY($AE$2),ROW()-6),$AD$2:$AD$757,$H$2:$H$757),""))</f>
        <v>47664</v>
      </c>
      <c r="Z59" s="15" cm="1">
        <f t="array" ref="Z59">IF(INDEX(_xlfn.ANCHORARRAY($AE$2),ROW()-6)="","",SUMIFS($N$2:$N$757,$AD$2:$AD$757,INDEX(_xlfn.ANCHORARRAY($AE$2),ROW()-6)))</f>
        <v>17.2</v>
      </c>
      <c r="AA59" s="17" t="str" cm="1">
        <f t="array" ref="AA59">IF(OR(INDEX(_xlfn.ANCHORARRAY($AE$2),ROW()-6)="",W59=0,LEFT(INDEX(_xlfn.ANCHORARRAY($AE$2),ROW()-6),1)="3",LEFT(INDEX(_xlfn.ANCHORARRAY($AE$2),ROW()-6),1)="4"),IF(INDEX(_xlfn.ANCHORARRAY($AE$2),ROW()-6)="","","-"),Z59/W59)</f>
        <v>-</v>
      </c>
      <c r="AB59" s="4"/>
      <c r="AC59" s="4"/>
      <c r="AD59" s="20" t="str">
        <f>IF((B59="")+(B59="Vacante")+(D59=""),"",IFERROR(MATCH(D59,{"Oficinas";"Locales";"Estacionamientos";"Bodegas"},0),5)&amp;"|"&amp;B59&amp;"|"&amp;TEXT(G59,"yyyymmdd")&amp;"|"&amp;TEXT(H59,"yyyymmdd"))</f>
        <v>2|TENGU|-|20310930</v>
      </c>
      <c r="AE59" s="4" t="str">
        <v>3|PROGARANTIA |-|20300531</v>
      </c>
      <c r="AF59" s="4"/>
    </row>
    <row r="60" spans="1:32" x14ac:dyDescent="0.2">
      <c r="A60" s="5">
        <v>1</v>
      </c>
      <c r="B60" s="6" t="s">
        <v>204</v>
      </c>
      <c r="C60" s="6" t="s">
        <v>66</v>
      </c>
      <c r="D60" s="6" t="s">
        <v>7</v>
      </c>
      <c r="E60" s="5">
        <v>105</v>
      </c>
      <c r="G60" s="9" t="s">
        <v>9</v>
      </c>
      <c r="H60" s="9">
        <v>46965</v>
      </c>
      <c r="I60" s="6" t="s">
        <v>5</v>
      </c>
      <c r="L60" s="18">
        <v>203.34</v>
      </c>
      <c r="M60" s="19">
        <v>1.1499999999999999</v>
      </c>
      <c r="N60" s="18">
        <v>233.84099999999998</v>
      </c>
      <c r="T60" s="4" t="str">
        <v>Estacionamientos</v>
      </c>
      <c r="U60" s="4" t="str">
        <v xml:space="preserve">RED ELECTRICA </v>
      </c>
      <c r="V60" s="10" t="str" cm="1">
        <f t="array" ref="V60">IF(INDEX(_xlfn.ANCHORARRAY($AE$2),ROW()-6)="","",_xlfn.TEXTJOIN(", ",TRUE,IF($AD$2:$AD$757=INDEX(_xlfn.ANCHORARRAY($AE$2),ROW()-6),$E$2:$E$757,"")))</f>
        <v>5013, 5014, 7087, 7090</v>
      </c>
      <c r="W60" s="15" cm="1">
        <f t="array" ref="W60">IF(INDEX(_xlfn.ANCHORARRAY($AE$2),ROW()-6)="","",SUMIFS($L$2:$L$757,$AD$2:$AD$757,INDEX(_xlfn.ANCHORARRAY($AE$2),ROW()-6)))</f>
        <v>4</v>
      </c>
      <c r="X60" s="16" t="str" cm="1">
        <f t="array" ref="X60">IF(INDEX(_xlfn.ANCHORARRAY($AE$2),ROW()-6)="","",IFERROR(_xlfn.XLOOKUP(INDEX(_xlfn.ANCHORARRAY($AE$2),ROW()-6),$AD$2:$AD$757,$G$2:$G$757),""))</f>
        <v>-</v>
      </c>
      <c r="Y60" s="16" cm="1">
        <f t="array" ref="Y60">IF(INDEX(_xlfn.ANCHORARRAY($AE$2),ROW()-6)="","",IFERROR(_xlfn.XLOOKUP(INDEX(_xlfn.ANCHORARRAY($AE$2),ROW()-6),$AD$2:$AD$757,$H$2:$H$757),""))</f>
        <v>46996</v>
      </c>
      <c r="Z60" s="15" cm="1">
        <f t="array" ref="Z60">IF(INDEX(_xlfn.ANCHORARRAY($AE$2),ROW()-6)="","",SUMIFS($N$2:$N$757,$AD$2:$AD$757,INDEX(_xlfn.ANCHORARRAY($AE$2),ROW()-6)))</f>
        <v>17.2</v>
      </c>
      <c r="AA60" s="17" t="str" cm="1">
        <f t="array" ref="AA60">IF(OR(INDEX(_xlfn.ANCHORARRAY($AE$2),ROW()-6)="",W60=0,LEFT(INDEX(_xlfn.ANCHORARRAY($AE$2),ROW()-6),1)="3",LEFT(INDEX(_xlfn.ANCHORARRAY($AE$2),ROW()-6),1)="4"),IF(INDEX(_xlfn.ANCHORARRAY($AE$2),ROW()-6)="","","-"),Z60/W60)</f>
        <v>-</v>
      </c>
      <c r="AB60" s="4"/>
      <c r="AC60" s="4"/>
      <c r="AD60" s="20" t="str">
        <f>IF((B60="")+(B60="Vacante")+(D60=""),"",IFERROR(MATCH(D60,{"Oficinas";"Locales";"Estacionamientos";"Bodegas"},0),5)&amp;"|"&amp;B60&amp;"|"&amp;TEXT(G60,"yyyymmdd")&amp;"|"&amp;TEXT(H60,"yyyymmdd"))</f>
        <v>2|BROOKS BROTHERS|-|20280731</v>
      </c>
      <c r="AE60" s="4" t="str">
        <v>3|RED ELECTRICA |-|20281130</v>
      </c>
      <c r="AF60" s="4"/>
    </row>
    <row r="61" spans="1:32" x14ac:dyDescent="0.2">
      <c r="A61" s="5">
        <v>1</v>
      </c>
      <c r="B61" s="6" t="s">
        <v>205</v>
      </c>
      <c r="C61" s="6" t="s">
        <v>67</v>
      </c>
      <c r="D61" s="6" t="s">
        <v>7</v>
      </c>
      <c r="E61" s="5" t="s">
        <v>70</v>
      </c>
      <c r="G61" s="9" t="s">
        <v>9</v>
      </c>
      <c r="H61" s="9">
        <v>48121</v>
      </c>
      <c r="I61" s="6" t="s">
        <v>5</v>
      </c>
      <c r="L61" s="18">
        <v>86.34</v>
      </c>
      <c r="M61" s="19">
        <v>1</v>
      </c>
      <c r="N61" s="18">
        <v>86.34</v>
      </c>
      <c r="T61" s="4" t="str">
        <v>Estacionamientos</v>
      </c>
      <c r="U61" s="4" t="str">
        <v>SOURCING SPA</v>
      </c>
      <c r="V61" s="10" t="str" cm="1">
        <f t="array" ref="V61">IF(INDEX(_xlfn.ANCHORARRAY($AE$2),ROW()-6)="","",_xlfn.TEXTJOIN(", ",TRUE,IF($AD$2:$AD$757=INDEX(_xlfn.ANCHORARRAY($AE$2),ROW()-6),$E$2:$E$757,"")))</f>
        <v>5043, 5044, 6135</v>
      </c>
      <c r="W61" s="15" cm="1">
        <f t="array" ref="W61">IF(INDEX(_xlfn.ANCHORARRAY($AE$2),ROW()-6)="","",SUMIFS($L$2:$L$757,$AD$2:$AD$757,INDEX(_xlfn.ANCHORARRAY($AE$2),ROW()-6)))</f>
        <v>3</v>
      </c>
      <c r="X61" s="16" t="str" cm="1">
        <f t="array" ref="X61">IF(INDEX(_xlfn.ANCHORARRAY($AE$2),ROW()-6)="","",IFERROR(_xlfn.XLOOKUP(INDEX(_xlfn.ANCHORARRAY($AE$2),ROW()-6),$AD$2:$AD$757,$G$2:$G$757),""))</f>
        <v>-</v>
      </c>
      <c r="Y61" s="16" cm="1">
        <f t="array" ref="Y61">IF(INDEX(_xlfn.ANCHORARRAY($AE$2),ROW()-6)="","",IFERROR(_xlfn.XLOOKUP(INDEX(_xlfn.ANCHORARRAY($AE$2),ROW()-6),$AD$2:$AD$757,$H$2:$H$757),""))</f>
        <v>47831</v>
      </c>
      <c r="Z61" s="15" cm="1">
        <f t="array" ref="Z61">IF(INDEX(_xlfn.ANCHORARRAY($AE$2),ROW()-6)="","",SUMIFS($N$2:$N$757,$AD$2:$AD$757,INDEX(_xlfn.ANCHORARRAY($AE$2),ROW()-6)))</f>
        <v>14.6</v>
      </c>
      <c r="AA61" s="17" t="str" cm="1">
        <f t="array" ref="AA61">IF(OR(INDEX(_xlfn.ANCHORARRAY($AE$2),ROW()-6)="",W61=0,LEFT(INDEX(_xlfn.ANCHORARRAY($AE$2),ROW()-6),1)="3",LEFT(INDEX(_xlfn.ANCHORARRAY($AE$2),ROW()-6),1)="4"),IF(INDEX(_xlfn.ANCHORARRAY($AE$2),ROW()-6)="","","-"),Z61/W61)</f>
        <v>-</v>
      </c>
      <c r="AB61" s="4"/>
      <c r="AC61" s="4"/>
      <c r="AD61" s="20" t="str">
        <f>IF((B61="")+(B61="Vacante")+(D61=""),"",IFERROR(MATCH(D61,{"Oficinas";"Locales";"Estacionamientos";"Bodegas"},0),5)&amp;"|"&amp;B61&amp;"|"&amp;TEXT(G61,"yyyymmdd")&amp;"|"&amp;TEXT(H61,"yyyymmdd"))</f>
        <v>2|TENGU|-|20310930</v>
      </c>
      <c r="AE61" s="4" t="str">
        <v>3|SOURCING SPA|-|20271231</v>
      </c>
      <c r="AF61" s="4"/>
    </row>
    <row r="62" spans="1:32" x14ac:dyDescent="0.2">
      <c r="A62" s="5">
        <v>1</v>
      </c>
      <c r="B62" s="6" t="s">
        <v>206</v>
      </c>
      <c r="C62" s="6" t="s">
        <v>71</v>
      </c>
      <c r="D62" s="6" t="s">
        <v>7</v>
      </c>
      <c r="E62" s="5">
        <v>106</v>
      </c>
      <c r="G62" s="9" t="s">
        <v>9</v>
      </c>
      <c r="H62" s="9">
        <v>46446</v>
      </c>
      <c r="I62" s="6" t="s">
        <v>5</v>
      </c>
      <c r="L62" s="18">
        <v>63.55</v>
      </c>
      <c r="M62" s="19">
        <v>1.2017309205350117</v>
      </c>
      <c r="N62" s="18">
        <v>76.36999999999999</v>
      </c>
      <c r="T62" s="4" t="str">
        <v>Estacionamientos</v>
      </c>
      <c r="U62" s="4" t="str">
        <v>SPENCER STUART</v>
      </c>
      <c r="V62" s="10" t="str" cm="1">
        <f t="array" ref="V62">IF(INDEX(_xlfn.ANCHORARRAY($AE$2),ROW()-6)="","",_xlfn.TEXTJOIN(", ",TRUE,IF($AD$2:$AD$757=INDEX(_xlfn.ANCHORARRAY($AE$2),ROW()-6),$E$2:$E$757,"")))</f>
        <v>5127, 6109, 6110, 6111</v>
      </c>
      <c r="W62" s="15" cm="1">
        <f t="array" ref="W62">IF(INDEX(_xlfn.ANCHORARRAY($AE$2),ROW()-6)="","",SUMIFS($L$2:$L$757,$AD$2:$AD$757,INDEX(_xlfn.ANCHORARRAY($AE$2),ROW()-6)))</f>
        <v>4</v>
      </c>
      <c r="X62" s="16" t="str" cm="1">
        <f t="array" ref="X62">IF(INDEX(_xlfn.ANCHORARRAY($AE$2),ROW()-6)="","",IFERROR(_xlfn.XLOOKUP(INDEX(_xlfn.ANCHORARRAY($AE$2),ROW()-6),$AD$2:$AD$757,$G$2:$G$757),""))</f>
        <v>-</v>
      </c>
      <c r="Y62" s="16" cm="1">
        <f t="array" ref="Y62">IF(INDEX(_xlfn.ANCHORARRAY($AE$2),ROW()-6)="","",IFERROR(_xlfn.XLOOKUP(INDEX(_xlfn.ANCHORARRAY($AE$2),ROW()-6),$AD$2:$AD$757,$H$2:$H$757),""))</f>
        <v>46538</v>
      </c>
      <c r="Z62" s="15" cm="1">
        <f t="array" ref="Z62">IF(INDEX(_xlfn.ANCHORARRAY($AE$2),ROW()-6)="","",SUMIFS($N$2:$N$757,$AD$2:$AD$757,INDEX(_xlfn.ANCHORARRAY($AE$2),ROW()-6)))</f>
        <v>20</v>
      </c>
      <c r="AA62" s="17" t="str" cm="1">
        <f t="array" ref="AA62">IF(OR(INDEX(_xlfn.ANCHORARRAY($AE$2),ROW()-6)="",W62=0,LEFT(INDEX(_xlfn.ANCHORARRAY($AE$2),ROW()-6),1)="3",LEFT(INDEX(_xlfn.ANCHORARRAY($AE$2),ROW()-6),1)="4"),IF(INDEX(_xlfn.ANCHORARRAY($AE$2),ROW()-6)="","","-"),Z62/W62)</f>
        <v>-</v>
      </c>
      <c r="AB62" s="4"/>
      <c r="AC62" s="4"/>
      <c r="AD62" s="20" t="str">
        <f>IF((B62="")+(B62="Vacante")+(D62=""),"",IFERROR(MATCH(D62,{"Oficinas";"Locales";"Estacionamientos";"Bodegas"},0),5)&amp;"|"&amp;B62&amp;"|"&amp;TEXT(G62,"yyyymmdd")&amp;"|"&amp;TEXT(H62,"yyyymmdd"))</f>
        <v>2|TATTERSAL|-|20270228</v>
      </c>
      <c r="AE62" s="4" t="str">
        <v>3|SPENCER STUART|20270415|20300415</v>
      </c>
      <c r="AF62" s="4"/>
    </row>
    <row r="63" spans="1:32" x14ac:dyDescent="0.2">
      <c r="A63" s="5">
        <v>1</v>
      </c>
      <c r="B63" s="6" t="s">
        <v>4</v>
      </c>
      <c r="C63" s="6" t="s">
        <v>4</v>
      </c>
      <c r="D63" s="6" t="s">
        <v>7</v>
      </c>
      <c r="E63" s="5" t="s">
        <v>72</v>
      </c>
      <c r="G63" s="9" t="s">
        <v>9</v>
      </c>
      <c r="H63" s="9" t="s">
        <v>9</v>
      </c>
      <c r="I63" s="6" t="s">
        <v>5</v>
      </c>
      <c r="L63" s="18">
        <v>29.92</v>
      </c>
      <c r="M63" s="19">
        <v>0</v>
      </c>
      <c r="N63" s="18">
        <v>0</v>
      </c>
      <c r="T63" s="4" t="str">
        <v>Estacionamientos</v>
      </c>
      <c r="U63" s="4" t="str">
        <v>STELLANTIS</v>
      </c>
      <c r="V63" s="10" t="str" cm="1">
        <f t="array" ref="V63">IF(INDEX(_xlfn.ANCHORARRAY($AE$2),ROW()-6)="","",_xlfn.TEXTJOIN(", ",TRUE,IF($AD$2:$AD$757=INDEX(_xlfn.ANCHORARRAY($AE$2),ROW()-6),$E$2:$E$757,"")))</f>
        <v>6075, 6076, 6083, 6084, 6090, 6107, 6108, 6112, 6126, 7026, 7027, 7028</v>
      </c>
      <c r="W63" s="15" cm="1">
        <f t="array" ref="W63">IF(INDEX(_xlfn.ANCHORARRAY($AE$2),ROW()-6)="","",SUMIFS($L$2:$L$757,$AD$2:$AD$757,INDEX(_xlfn.ANCHORARRAY($AE$2),ROW()-6)))</f>
        <v>12</v>
      </c>
      <c r="X63" s="16" cm="1">
        <f t="array" ref="X63">IF(INDEX(_xlfn.ANCHORARRAY($AE$2),ROW()-6)="","",IFERROR(_xlfn.XLOOKUP(INDEX(_xlfn.ANCHORARRAY($AE$2),ROW()-6),$AD$2:$AD$757,$G$2:$G$757),""))</f>
        <v>46457</v>
      </c>
      <c r="Y63" s="16" cm="1">
        <f t="array" ref="Y63">IF(INDEX(_xlfn.ANCHORARRAY($AE$2),ROW()-6)="","",IFERROR(_xlfn.XLOOKUP(INDEX(_xlfn.ANCHORARRAY($AE$2),ROW()-6),$AD$2:$AD$757,$H$2:$H$757),""))</f>
        <v>47187</v>
      </c>
      <c r="Z63" s="15" cm="1">
        <f t="array" ref="Z63">IF(INDEX(_xlfn.ANCHORARRAY($AE$2),ROW()-6)="","",SUMIFS($N$2:$N$757,$AD$2:$AD$757,INDEX(_xlfn.ANCHORARRAY($AE$2),ROW()-6)))</f>
        <v>54.4</v>
      </c>
      <c r="AA63" s="17" t="str" cm="1">
        <f t="array" ref="AA63">IF(OR(INDEX(_xlfn.ANCHORARRAY($AE$2),ROW()-6)="",W63=0,LEFT(INDEX(_xlfn.ANCHORARRAY($AE$2),ROW()-6),1)="3",LEFT(INDEX(_xlfn.ANCHORARRAY($AE$2),ROW()-6),1)="4"),IF(INDEX(_xlfn.ANCHORARRAY($AE$2),ROW()-6)="","","-"),Z63/W63)</f>
        <v>-</v>
      </c>
      <c r="AD63" s="20" t="str">
        <f>IF((B63="")+(B63="Vacante")+(D63=""),"",IFERROR(MATCH(D63,{"Oficinas";"Locales";"Estacionamientos";"Bodegas"},0),5)&amp;"|"&amp;B63&amp;"|"&amp;TEXT(G63,"yyyymmdd")&amp;"|"&amp;TEXT(H63,"yyyymmdd"))</f>
        <v/>
      </c>
      <c r="AE63" s="4" t="str">
        <v>3|STELLANTIS|-|20300214</v>
      </c>
      <c r="AF63" s="4"/>
    </row>
    <row r="64" spans="1:32" x14ac:dyDescent="0.2">
      <c r="A64" s="5">
        <v>1</v>
      </c>
      <c r="B64" s="6" t="s">
        <v>4</v>
      </c>
      <c r="C64" s="6" t="s">
        <v>4</v>
      </c>
      <c r="D64" s="6" t="s">
        <v>7</v>
      </c>
      <c r="E64" s="5" t="s">
        <v>73</v>
      </c>
      <c r="G64" s="9" t="s">
        <v>9</v>
      </c>
      <c r="H64" s="9" t="s">
        <v>9</v>
      </c>
      <c r="I64" s="6" t="s">
        <v>5</v>
      </c>
      <c r="L64" s="18">
        <v>19.43</v>
      </c>
      <c r="M64" s="19">
        <v>0</v>
      </c>
      <c r="N64" s="18">
        <v>0</v>
      </c>
      <c r="T64" s="4" t="str">
        <v>Estacionamientos</v>
      </c>
      <c r="U64" s="4" t="str">
        <v>SUMITOMO</v>
      </c>
      <c r="V64" s="10" t="str" cm="1">
        <f t="array" ref="V64">IF(INDEX(_xlfn.ANCHORARRAY($AE$2),ROW()-6)="","",_xlfn.TEXTJOIN(", ",TRUE,IF($AD$2:$AD$757=INDEX(_xlfn.ANCHORARRAY($AE$2),ROW()-6),$E$2:$E$757,"")))</f>
        <v>6001, 6002, 6003, 6004, 6005, 6006, 6007, 6008, 6009, 6010, 6011, 6012</v>
      </c>
      <c r="W64" s="15" cm="1">
        <f t="array" ref="W64">IF(INDEX(_xlfn.ANCHORARRAY($AE$2),ROW()-6)="","",SUMIFS($L$2:$L$757,$AD$2:$AD$757,INDEX(_xlfn.ANCHORARRAY($AE$2),ROW()-6)))</f>
        <v>12</v>
      </c>
      <c r="X64" s="16" t="str" cm="1">
        <f t="array" ref="X64">IF(INDEX(_xlfn.ANCHORARRAY($AE$2),ROW()-6)="","",IFERROR(_xlfn.XLOOKUP(INDEX(_xlfn.ANCHORARRAY($AE$2),ROW()-6),$AD$2:$AD$757,$G$2:$G$757),""))</f>
        <v>-</v>
      </c>
      <c r="Y64" s="16" cm="1">
        <f t="array" ref="Y64">IF(INDEX(_xlfn.ANCHORARRAY($AE$2),ROW()-6)="","",IFERROR(_xlfn.XLOOKUP(INDEX(_xlfn.ANCHORARRAY($AE$2),ROW()-6),$AD$2:$AD$757,$H$2:$H$757),""))</f>
        <v>47634</v>
      </c>
      <c r="Z64" s="15" cm="1">
        <f t="array" ref="Z64">IF(INDEX(_xlfn.ANCHORARRAY($AE$2),ROW()-6)="","",SUMIFS($N$2:$N$757,$AD$2:$AD$757,INDEX(_xlfn.ANCHORARRAY($AE$2),ROW()-6)))</f>
        <v>51.599999999999987</v>
      </c>
      <c r="AA64" s="17" t="str" cm="1">
        <f t="array" ref="AA64">IF(OR(INDEX(_xlfn.ANCHORARRAY($AE$2),ROW()-6)="",W64=0,LEFT(INDEX(_xlfn.ANCHORARRAY($AE$2),ROW()-6),1)="3",LEFT(INDEX(_xlfn.ANCHORARRAY($AE$2),ROW()-6),1)="4"),IF(INDEX(_xlfn.ANCHORARRAY($AE$2),ROW()-6)="","","-"),Z64/W64)</f>
        <v>-</v>
      </c>
      <c r="AD64" s="20" t="str">
        <f>IF((B64="")+(B64="Vacante")+(D64=""),"",IFERROR(MATCH(D64,{"Oficinas";"Locales";"Estacionamientos";"Bodegas"},0),5)&amp;"|"&amp;B64&amp;"|"&amp;TEXT(G64,"yyyymmdd")&amp;"|"&amp;TEXT(H64,"yyyymmdd"))</f>
        <v/>
      </c>
      <c r="AE64" s="4" t="str">
        <v>3|SUMITOMO|-|20261231</v>
      </c>
      <c r="AF64" s="4"/>
    </row>
    <row r="65" spans="1:32" x14ac:dyDescent="0.2">
      <c r="A65" s="5">
        <v>1</v>
      </c>
      <c r="B65" s="6" t="s">
        <v>74</v>
      </c>
      <c r="C65" s="6" t="s">
        <v>74</v>
      </c>
      <c r="D65" s="6" t="s">
        <v>7</v>
      </c>
      <c r="E65" s="5" t="s">
        <v>75</v>
      </c>
      <c r="G65" s="9" t="s">
        <v>9</v>
      </c>
      <c r="H65" s="9" t="s">
        <v>9</v>
      </c>
      <c r="I65" s="6" t="s">
        <v>5</v>
      </c>
      <c r="L65" s="18">
        <v>35.65</v>
      </c>
      <c r="M65" s="19">
        <v>0</v>
      </c>
      <c r="N65" s="18">
        <v>0</v>
      </c>
      <c r="T65" s="4" t="str">
        <v>Estacionamientos</v>
      </c>
      <c r="U65" s="4" t="str">
        <v>SYMNETICS S.A.</v>
      </c>
      <c r="V65" s="10" t="str" cm="1">
        <f t="array" ref="V65">IF(INDEX(_xlfn.ANCHORARRAY($AE$2),ROW()-6)="","",_xlfn.TEXTJOIN(", ",TRUE,IF($AD$2:$AD$757=INDEX(_xlfn.ANCHORARRAY($AE$2),ROW()-6),$E$2:$E$757,"")))</f>
        <v>7057, 7058, 7073, 7074, 7075, 7076, 7091, 7113</v>
      </c>
      <c r="W65" s="15" cm="1">
        <f t="array" ref="W65">IF(INDEX(_xlfn.ANCHORARRAY($AE$2),ROW()-6)="","",SUMIFS($L$2:$L$757,$AD$2:$AD$757,INDEX(_xlfn.ANCHORARRAY($AE$2),ROW()-6)))</f>
        <v>8</v>
      </c>
      <c r="X65" s="16" t="str" cm="1">
        <f t="array" ref="X65">IF(INDEX(_xlfn.ANCHORARRAY($AE$2),ROW()-6)="","",IFERROR(_xlfn.XLOOKUP(INDEX(_xlfn.ANCHORARRAY($AE$2),ROW()-6),$AD$2:$AD$757,$G$2:$G$757),""))</f>
        <v>-</v>
      </c>
      <c r="Y65" s="16" cm="1">
        <f t="array" ref="Y65">IF(INDEX(_xlfn.ANCHORARRAY($AE$2),ROW()-6)="","",IFERROR(_xlfn.XLOOKUP(INDEX(_xlfn.ANCHORARRAY($AE$2),ROW()-6),$AD$2:$AD$757,$H$2:$H$757),""))</f>
        <v>47087</v>
      </c>
      <c r="Z65" s="15" cm="1">
        <f t="array" ref="Z65">IF(INDEX(_xlfn.ANCHORARRAY($AE$2),ROW()-6)="","",SUMIFS($N$2:$N$757,$AD$2:$AD$757,INDEX(_xlfn.ANCHORARRAY($AE$2),ROW()-6)))</f>
        <v>34.4</v>
      </c>
      <c r="AA65" s="17" t="str" cm="1">
        <f t="array" ref="AA65">IF(OR(INDEX(_xlfn.ANCHORARRAY($AE$2),ROW()-6)="",W65=0,LEFT(INDEX(_xlfn.ANCHORARRAY($AE$2),ROW()-6),1)="3",LEFT(INDEX(_xlfn.ANCHORARRAY($AE$2),ROW()-6),1)="4"),IF(INDEX(_xlfn.ANCHORARRAY($AE$2),ROW()-6)="","","-"),Z65/W65)</f>
        <v>-</v>
      </c>
      <c r="AD65" s="20" t="str">
        <f>IF((B65="")+(B65="Vacante")+(D65=""),"",IFERROR(MATCH(D65,{"Oficinas";"Locales";"Estacionamientos";"Bodegas"},0),5)&amp;"|"&amp;B65&amp;"|"&amp;TEXT(G65,"yyyymmdd")&amp;"|"&amp;TEXT(H65,"yyyymmdd"))</f>
        <v>2|OFFICE LOBBY|-|-</v>
      </c>
      <c r="AE65" s="4" t="str">
        <v>3|SYMNETICS S.A.|-|20300623</v>
      </c>
      <c r="AF65" s="4"/>
    </row>
    <row r="66" spans="1:32" x14ac:dyDescent="0.2">
      <c r="A66" s="5">
        <v>-1</v>
      </c>
      <c r="B66" s="6" t="s">
        <v>200</v>
      </c>
      <c r="C66" s="6" t="s">
        <v>76</v>
      </c>
      <c r="D66" s="6" t="s">
        <v>7</v>
      </c>
      <c r="E66" s="5" t="s">
        <v>77</v>
      </c>
      <c r="G66" s="9" t="s">
        <v>9</v>
      </c>
      <c r="H66" s="9">
        <v>47483</v>
      </c>
      <c r="I66" s="6" t="s">
        <v>5</v>
      </c>
      <c r="L66" s="18">
        <v>658.86</v>
      </c>
      <c r="M66" s="19">
        <v>0.80000000000000016</v>
      </c>
      <c r="N66" s="18">
        <v>527.08800000000008</v>
      </c>
      <c r="T66" s="4" t="str">
        <v>Estacionamientos</v>
      </c>
      <c r="U66" s="4" t="str">
        <v>TATTERSAL</v>
      </c>
      <c r="V66" s="10" t="str" cm="1">
        <f t="array" ref="V66">IF(INDEX(_xlfn.ANCHORARRAY($AE$2),ROW()-6)="","",_xlfn.TEXTJOIN(", ",TRUE,IF($AD$2:$AD$757=INDEX(_xlfn.ANCHORARRAY($AE$2),ROW()-6),$E$2:$E$757,"")))</f>
        <v>7120, 7121, 7127, 7128</v>
      </c>
      <c r="W66" s="15" cm="1">
        <f t="array" ref="W66">IF(INDEX(_xlfn.ANCHORARRAY($AE$2),ROW()-6)="","",SUMIFS($L$2:$L$757,$AD$2:$AD$757,INDEX(_xlfn.ANCHORARRAY($AE$2),ROW()-6)))</f>
        <v>4</v>
      </c>
      <c r="X66" s="16" t="str" cm="1">
        <f t="array" ref="X66">IF(INDEX(_xlfn.ANCHORARRAY($AE$2),ROW()-6)="","",IFERROR(_xlfn.XLOOKUP(INDEX(_xlfn.ANCHORARRAY($AE$2),ROW()-6),$AD$2:$AD$757,$G$2:$G$757),""))</f>
        <v>-</v>
      </c>
      <c r="Y66" s="16" cm="1">
        <f t="array" ref="Y66">IF(INDEX(_xlfn.ANCHORARRAY($AE$2),ROW()-6)="","",IFERROR(_xlfn.XLOOKUP(INDEX(_xlfn.ANCHORARRAY($AE$2),ROW()-6),$AD$2:$AD$757,$H$2:$H$757),""))</f>
        <v>46752</v>
      </c>
      <c r="Z66" s="15" cm="1">
        <f t="array" ref="Z66">IF(INDEX(_xlfn.ANCHORARRAY($AE$2),ROW()-6)="","",SUMIFS($N$2:$N$757,$AD$2:$AD$757,INDEX(_xlfn.ANCHORARRAY($AE$2),ROW()-6)))</f>
        <v>19</v>
      </c>
      <c r="AA66" s="17" t="str" cm="1">
        <f t="array" ref="AA66">IF(OR(INDEX(_xlfn.ANCHORARRAY($AE$2),ROW()-6)="",W66=0,LEFT(INDEX(_xlfn.ANCHORARRAY($AE$2),ROW()-6),1)="3",LEFT(INDEX(_xlfn.ANCHORARRAY($AE$2),ROW()-6),1)="4"),IF(INDEX(_xlfn.ANCHORARRAY($AE$2),ROW()-6)="","","-"),Z66/W66)</f>
        <v>-</v>
      </c>
      <c r="AD66" s="20" t="str">
        <f>IF((B66="")+(B66="Vacante")+(D66=""),"",IFERROR(MATCH(D66,{"Oficinas";"Locales";"Estacionamientos";"Bodegas"},0),5)&amp;"|"&amp;B66&amp;"|"&amp;TEXT(G66,"yyyymmdd")&amp;"|"&amp;TEXT(H66,"yyyymmdd"))</f>
        <v>2|MARGO|-|20291231</v>
      </c>
      <c r="AE66" s="4" t="str">
        <v>3|TATTERSAL|20250228|20270228</v>
      </c>
      <c r="AF66" s="4"/>
    </row>
    <row r="67" spans="1:32" x14ac:dyDescent="0.2">
      <c r="A67" s="5">
        <v>-1</v>
      </c>
      <c r="B67" s="6" t="s">
        <v>201</v>
      </c>
      <c r="C67" s="6" t="s">
        <v>78</v>
      </c>
      <c r="D67" s="6" t="s">
        <v>7</v>
      </c>
      <c r="E67" s="5" t="s">
        <v>79</v>
      </c>
      <c r="G67" s="9" t="s">
        <v>9</v>
      </c>
      <c r="H67" s="9">
        <v>48518</v>
      </c>
      <c r="I67" s="6" t="s">
        <v>5</v>
      </c>
      <c r="L67" s="18">
        <v>138.46</v>
      </c>
      <c r="M67" s="19">
        <v>0.8</v>
      </c>
      <c r="N67" s="18">
        <v>110.76800000000001</v>
      </c>
      <c r="T67" s="4" t="str">
        <v>Estacionamientos</v>
      </c>
      <c r="U67" s="4" t="str">
        <v>TECNIMONT</v>
      </c>
      <c r="V67" s="10" t="str" cm="1">
        <f t="array" ref="V67">IF(INDEX(_xlfn.ANCHORARRAY($AE$2),ROW()-6)="","",_xlfn.TEXTJOIN(", ",TRUE,IF($AD$2:$AD$757=INDEX(_xlfn.ANCHORARRAY($AE$2),ROW()-6),$E$2:$E$757,"")))</f>
        <v>7093, 7094, 7095, 7096, 7097, 7098, 7115, 7116, 7117, 7136, 7137, 7138</v>
      </c>
      <c r="W67" s="15" cm="1">
        <f t="array" ref="W67">IF(INDEX(_xlfn.ANCHORARRAY($AE$2),ROW()-6)="","",SUMIFS($L$2:$L$757,$AD$2:$AD$757,INDEX(_xlfn.ANCHORARRAY($AE$2),ROW()-6)))</f>
        <v>12</v>
      </c>
      <c r="X67" s="16" cm="1">
        <f t="array" ref="X67">IF(INDEX(_xlfn.ANCHORARRAY($AE$2),ROW()-6)="","",IFERROR(_xlfn.XLOOKUP(INDEX(_xlfn.ANCHORARRAY($AE$2),ROW()-6),$AD$2:$AD$757,$G$2:$G$757),""))</f>
        <v>46492</v>
      </c>
      <c r="Y67" s="16" cm="1">
        <f t="array" ref="Y67">IF(INDEX(_xlfn.ANCHORARRAY($AE$2),ROW()-6)="","",IFERROR(_xlfn.XLOOKUP(INDEX(_xlfn.ANCHORARRAY($AE$2),ROW()-6),$AD$2:$AD$757,$H$2:$H$757),""))</f>
        <v>47588</v>
      </c>
      <c r="Z67" s="15" cm="1">
        <f t="array" ref="Z67">IF(INDEX(_xlfn.ANCHORARRAY($AE$2),ROW()-6)="","",SUMIFS($N$2:$N$757,$AD$2:$AD$757,INDEX(_xlfn.ANCHORARRAY($AE$2),ROW()-6)))</f>
        <v>51.599999999999987</v>
      </c>
      <c r="AA67" s="17" t="str" cm="1">
        <f t="array" ref="AA67">IF(OR(INDEX(_xlfn.ANCHORARRAY($AE$2),ROW()-6)="",W67=0,LEFT(INDEX(_xlfn.ANCHORARRAY($AE$2),ROW()-6),1)="3",LEFT(INDEX(_xlfn.ANCHORARRAY($AE$2),ROW()-6),1)="4"),IF(INDEX(_xlfn.ANCHORARRAY($AE$2),ROW()-6)="","","-"),Z67/W67)</f>
        <v>-</v>
      </c>
      <c r="AD67" s="20" t="str">
        <f>IF((B67="")+(B67="Vacante")+(D67=""),"",IFERROR(MATCH(D67,{"Oficinas";"Locales";"Estacionamientos";"Bodegas"},0),5)&amp;"|"&amp;B67&amp;"|"&amp;TEXT(G67,"yyyymmdd")&amp;"|"&amp;TEXT(H67,"yyyymmdd"))</f>
        <v>2|MERCADO ISIDORA |-|20321031</v>
      </c>
      <c r="AE67" s="4" t="str">
        <v>3|TECNIMONT|20270515|20300114</v>
      </c>
      <c r="AF67" s="4"/>
    </row>
    <row r="68" spans="1:32" x14ac:dyDescent="0.2">
      <c r="A68" s="5">
        <v>-1</v>
      </c>
      <c r="B68" s="6" t="s">
        <v>201</v>
      </c>
      <c r="C68" s="6" t="s">
        <v>78</v>
      </c>
      <c r="D68" s="6" t="s">
        <v>7</v>
      </c>
      <c r="E68" s="5" t="s">
        <v>80</v>
      </c>
      <c r="G68" s="9" t="s">
        <v>9</v>
      </c>
      <c r="H68" s="9">
        <v>48518</v>
      </c>
      <c r="I68" s="6" t="s">
        <v>5</v>
      </c>
      <c r="L68" s="18">
        <v>348.65</v>
      </c>
      <c r="M68" s="19">
        <v>0.8</v>
      </c>
      <c r="N68" s="18">
        <v>278.92</v>
      </c>
      <c r="T68" s="4" t="str">
        <v>Estacionamientos</v>
      </c>
      <c r="U68" s="4" t="str">
        <v>THE BOSS</v>
      </c>
      <c r="V68" s="10" t="str" cm="1">
        <f t="array" ref="V68">IF(INDEX(_xlfn.ANCHORARRAY($AE$2),ROW()-6)="","",_xlfn.TEXTJOIN(", ",TRUE,IF($AD$2:$AD$757=INDEX(_xlfn.ANCHORARRAY($AE$2),ROW()-6),$E$2:$E$757,"")))</f>
        <v>5039, 5050, 5122, 5123, 5124, 5125, 6014, 6015, 6016, 6017, 6018, 6019, 6020, 6021, 6022, 6087, 6088, 6106, 7030, 7031, 7033, 7034, 7041, 7042, 7043, 7044, 7045, 7052, 7053, 7054, 7055, 7056, 7062, 7063, 7064, 7071, 7072, 7125, 7129, 7130</v>
      </c>
      <c r="W68" s="15" cm="1">
        <f t="array" ref="W68">IF(INDEX(_xlfn.ANCHORARRAY($AE$2),ROW()-6)="","",SUMIFS($L$2:$L$757,$AD$2:$AD$757,INDEX(_xlfn.ANCHORARRAY($AE$2),ROW()-6)))</f>
        <v>40</v>
      </c>
      <c r="X68" s="16" t="str" cm="1">
        <f t="array" ref="X68">IF(INDEX(_xlfn.ANCHORARRAY($AE$2),ROW()-6)="","",IFERROR(_xlfn.XLOOKUP(INDEX(_xlfn.ANCHORARRAY($AE$2),ROW()-6),$AD$2:$AD$757,$G$2:$G$757),""))</f>
        <v>-</v>
      </c>
      <c r="Y68" s="16" cm="1">
        <f t="array" ref="Y68">IF(INDEX(_xlfn.ANCHORARRAY($AE$2),ROW()-6)="","",IFERROR(_xlfn.XLOOKUP(INDEX(_xlfn.ANCHORARRAY($AE$2),ROW()-6),$AD$2:$AD$757,$H$2:$H$757),""))</f>
        <v>47528</v>
      </c>
      <c r="Z68" s="15" cm="1">
        <f t="array" ref="Z68">IF(INDEX(_xlfn.ANCHORARRAY($AE$2),ROW()-6)="","",SUMIFS($N$2:$N$757,$AD$2:$AD$757,INDEX(_xlfn.ANCHORARRAY($AE$2),ROW()-6)))</f>
        <v>120</v>
      </c>
      <c r="AA68" s="17" t="str" cm="1">
        <f t="array" ref="AA68">IF(OR(INDEX(_xlfn.ANCHORARRAY($AE$2),ROW()-6)="",W68=0,LEFT(INDEX(_xlfn.ANCHORARRAY($AE$2),ROW()-6),1)="3",LEFT(INDEX(_xlfn.ANCHORARRAY($AE$2),ROW()-6),1)="4"),IF(INDEX(_xlfn.ANCHORARRAY($AE$2),ROW()-6)="","","-"),Z68/W68)</f>
        <v>-</v>
      </c>
      <c r="AD68" s="20" t="str">
        <f>IF((B68="")+(B68="Vacante")+(D68=""),"",IFERROR(MATCH(D68,{"Oficinas";"Locales";"Estacionamientos";"Bodegas"},0),5)&amp;"|"&amp;B68&amp;"|"&amp;TEXT(G68,"yyyymmdd")&amp;"|"&amp;TEXT(H68,"yyyymmdd"))</f>
        <v>2|MERCADO ISIDORA |-|20321031</v>
      </c>
      <c r="AE68" s="4" t="str">
        <v>3|THE BOSS|-|20300114</v>
      </c>
      <c r="AF68" s="4"/>
    </row>
    <row r="69" spans="1:32" x14ac:dyDescent="0.2">
      <c r="A69" s="5">
        <v>-1</v>
      </c>
      <c r="B69" s="6" t="s">
        <v>202</v>
      </c>
      <c r="C69" s="6" t="s">
        <v>81</v>
      </c>
      <c r="D69" s="6" t="s">
        <v>7</v>
      </c>
      <c r="E69" s="5" t="s">
        <v>82</v>
      </c>
      <c r="G69" s="9" t="s">
        <v>9</v>
      </c>
      <c r="H69" s="9">
        <v>47118</v>
      </c>
      <c r="I69" s="6" t="s">
        <v>5</v>
      </c>
      <c r="L69" s="18">
        <v>53.23</v>
      </c>
      <c r="M69" s="19">
        <v>1.45</v>
      </c>
      <c r="N69" s="18">
        <v>77.183499999999995</v>
      </c>
      <c r="T69" s="4" t="str">
        <v>Estacionamientos</v>
      </c>
      <c r="U69" s="4" t="str">
        <v>TURKISH AIRLINES</v>
      </c>
      <c r="V69" s="10" t="str" cm="1">
        <f t="array" ref="V69">IF(INDEX(_xlfn.ANCHORARRAY($AE$2),ROW()-6)="","",_xlfn.TEXTJOIN(", ",TRUE,IF($AD$2:$AD$757=INDEX(_xlfn.ANCHORARRAY($AE$2),ROW()-6),$E$2:$E$757,"")))</f>
        <v>6053, 7059, 7124, 7134, 7135, 7139, 7140</v>
      </c>
      <c r="W69" s="15" cm="1">
        <f t="array" ref="W69">IF(INDEX(_xlfn.ANCHORARRAY($AE$2),ROW()-6)="","",SUMIFS($L$2:$L$757,$AD$2:$AD$757,INDEX(_xlfn.ANCHORARRAY($AE$2),ROW()-6)))</f>
        <v>7</v>
      </c>
      <c r="X69" s="16" t="str" cm="1">
        <f t="array" ref="X69">IF(INDEX(_xlfn.ANCHORARRAY($AE$2),ROW()-6)="","",IFERROR(_xlfn.XLOOKUP(INDEX(_xlfn.ANCHORARRAY($AE$2),ROW()-6),$AD$2:$AD$757,$G$2:$G$757),""))</f>
        <v>-</v>
      </c>
      <c r="Y69" s="16" cm="1">
        <f t="array" ref="Y69">IF(INDEX(_xlfn.ANCHORARRAY($AE$2),ROW()-6)="","",IFERROR(_xlfn.XLOOKUP(INDEX(_xlfn.ANCHORARRAY($AE$2),ROW()-6),$AD$2:$AD$757,$H$2:$H$757),""))</f>
        <v>46387</v>
      </c>
      <c r="Z69" s="15" cm="1">
        <f t="array" ref="Z69">IF(INDEX(_xlfn.ANCHORARRAY($AE$2),ROW()-6)="","",SUMIFS($N$2:$N$757,$AD$2:$AD$757,INDEX(_xlfn.ANCHORARRAY($AE$2),ROW()-6)))</f>
        <v>36</v>
      </c>
      <c r="AA69" s="17" t="str" cm="1">
        <f t="array" ref="AA69">IF(OR(INDEX(_xlfn.ANCHORARRAY($AE$2),ROW()-6)="",W69=0,LEFT(INDEX(_xlfn.ANCHORARRAY($AE$2),ROW()-6),1)="3",LEFT(INDEX(_xlfn.ANCHORARRAY($AE$2),ROW()-6),1)="4"),IF(INDEX(_xlfn.ANCHORARRAY($AE$2),ROW()-6)="","","-"),Z69/W69)</f>
        <v>-</v>
      </c>
      <c r="AD69" s="20" t="str">
        <f>IF((B69="")+(B69="Vacante")+(D69=""),"",IFERROR(MATCH(D69,{"Oficinas";"Locales";"Estacionamientos";"Bodegas"},0),5)&amp;"|"&amp;B69&amp;"|"&amp;TEXT(G69,"yyyymmdd")&amp;"|"&amp;TEXT(H69,"yyyymmdd"))</f>
        <v>2|CASA DEL HABANO|-|20281231</v>
      </c>
      <c r="AE69" s="4" t="str">
        <v>3|TURKISH AIRLINES|20290623|20310622</v>
      </c>
      <c r="AF69" s="4"/>
    </row>
    <row r="70" spans="1:32" x14ac:dyDescent="0.2">
      <c r="A70" s="5">
        <v>-1</v>
      </c>
      <c r="B70" s="6" t="s">
        <v>202</v>
      </c>
      <c r="C70" s="6" t="s">
        <v>81</v>
      </c>
      <c r="D70" s="6" t="s">
        <v>7</v>
      </c>
      <c r="E70" s="5" t="s">
        <v>83</v>
      </c>
      <c r="G70" s="9" t="s">
        <v>9</v>
      </c>
      <c r="H70" s="9">
        <v>47118</v>
      </c>
      <c r="I70" s="6" t="s">
        <v>5</v>
      </c>
      <c r="L70" s="18">
        <v>66.25</v>
      </c>
      <c r="M70" s="19">
        <v>1.45</v>
      </c>
      <c r="N70" s="18">
        <v>96.0625</v>
      </c>
      <c r="T70" s="4" t="str">
        <v>Estacionamientos</v>
      </c>
      <c r="U70" s="4" t="str">
        <v>UKA CHILE</v>
      </c>
      <c r="V70" s="10" t="str" cm="1">
        <f t="array" ref="V70">IF(INDEX(_xlfn.ANCHORARRAY($AE$2),ROW()-6)="","",_xlfn.TEXTJOIN(", ",TRUE,IF($AD$2:$AD$757=INDEX(_xlfn.ANCHORARRAY($AE$2),ROW()-6),$E$2:$E$757,"")))</f>
        <v>7035, 7036, 7037, 7038, 7039, 7040</v>
      </c>
      <c r="W70" s="15" cm="1">
        <f t="array" ref="W70">IF(INDEX(_xlfn.ANCHORARRAY($AE$2),ROW()-6)="","",SUMIFS($L$2:$L$757,$AD$2:$AD$757,INDEX(_xlfn.ANCHORARRAY($AE$2),ROW()-6)))</f>
        <v>6</v>
      </c>
      <c r="X70" s="16" t="str" cm="1">
        <f t="array" ref="X70">IF(INDEX(_xlfn.ANCHORARRAY($AE$2),ROW()-6)="","",IFERROR(_xlfn.XLOOKUP(INDEX(_xlfn.ANCHORARRAY($AE$2),ROW()-6),$AD$2:$AD$757,$G$2:$G$757),""))</f>
        <v>-</v>
      </c>
      <c r="Y70" s="16" cm="1">
        <f t="array" ref="Y70">IF(INDEX(_xlfn.ANCHORARRAY($AE$2),ROW()-6)="","",IFERROR(_xlfn.XLOOKUP(INDEX(_xlfn.ANCHORARRAY($AE$2),ROW()-6),$AD$2:$AD$757,$H$2:$H$757),""))</f>
        <v>47657</v>
      </c>
      <c r="Z70" s="15" cm="1">
        <f t="array" ref="Z70">IF(INDEX(_xlfn.ANCHORARRAY($AE$2),ROW()-6)="","",SUMIFS($N$2:$N$757,$AD$2:$AD$757,INDEX(_xlfn.ANCHORARRAY($AE$2),ROW()-6)))</f>
        <v>24</v>
      </c>
      <c r="AA70" s="17" t="str" cm="1">
        <f t="array" ref="AA70">IF(OR(INDEX(_xlfn.ANCHORARRAY($AE$2),ROW()-6)="",W70=0,LEFT(INDEX(_xlfn.ANCHORARRAY($AE$2),ROW()-6),1)="3",LEFT(INDEX(_xlfn.ANCHORARRAY($AE$2),ROW()-6),1)="4"),IF(INDEX(_xlfn.ANCHORARRAY($AE$2),ROW()-6)="","","-"),Z70/W70)</f>
        <v>-</v>
      </c>
      <c r="AD70" s="20" t="str">
        <f>IF((B70="")+(B70="Vacante")+(D70=""),"",IFERROR(MATCH(D70,{"Oficinas";"Locales";"Estacionamientos";"Bodegas"},0),5)&amp;"|"&amp;B70&amp;"|"&amp;TEXT(G70,"yyyymmdd")&amp;"|"&amp;TEXT(H70,"yyyymmdd"))</f>
        <v>2|CASA DEL HABANO|-|20281231</v>
      </c>
      <c r="AE70" s="4" t="str">
        <v>3|UKA CHILE|-|20260430</v>
      </c>
      <c r="AF70" s="4"/>
    </row>
    <row r="71" spans="1:32" x14ac:dyDescent="0.2">
      <c r="A71" s="5">
        <v>-1</v>
      </c>
      <c r="B71" s="6" t="s">
        <v>201</v>
      </c>
      <c r="C71" s="6" t="s">
        <v>78</v>
      </c>
      <c r="D71" s="6" t="s">
        <v>7</v>
      </c>
      <c r="E71" s="5" t="s">
        <v>84</v>
      </c>
      <c r="G71" s="9" t="s">
        <v>9</v>
      </c>
      <c r="H71" s="9">
        <v>48518</v>
      </c>
      <c r="I71" s="6" t="s">
        <v>5</v>
      </c>
      <c r="L71" s="18">
        <v>117.87</v>
      </c>
      <c r="M71" s="19">
        <v>0.8</v>
      </c>
      <c r="N71" s="18">
        <v>94.296000000000006</v>
      </c>
      <c r="T71" s="4" t="str">
        <v>Bodegas</v>
      </c>
      <c r="U71" s="4" t="str">
        <v>AMLV GRUPO</v>
      </c>
      <c r="V71" s="10" t="str" cm="1">
        <f t="array" ref="V71">IF(INDEX(_xlfn.ANCHORARRAY($AE$2),ROW()-6)="","",_xlfn.TEXTJOIN(", ",TRUE,IF($AD$2:$AD$757=INDEX(_xlfn.ANCHORARRAY($AE$2),ROW()-6),$E$2:$E$757,"")))</f>
        <v>S-201, S-201, S-201, S-201, S-201, S-201, S-201, S-201, S-201, S-201, S-201, 7001, 7002, 7003, 7004, 7005, 7006, 7007, 7008, 7009, 7010, 7011, 7012, 7013, 7014, 7015, 7016, 7017, 7018, 7019, 7020, 7022, 7032, 7047, 7048, 7049, 7050, 7066, 7067, 7068, 7069, 7070, 7077, 7078, 7079, 7080, 7081, 7082, 7083, 7084, 7085, 7086, 7099, 7100, 7102</v>
      </c>
      <c r="W71" s="15" cm="1">
        <f t="array" ref="W71">IF(INDEX(_xlfn.ANCHORARRAY($AE$2),ROW()-6)="","",SUMIFS($L$2:$L$757,$AD$2:$AD$757,INDEX(_xlfn.ANCHORARRAY($AE$2),ROW()-6)))</f>
        <v>55</v>
      </c>
      <c r="X71" s="16" cm="1">
        <f t="array" ref="X71">IF(INDEX(_xlfn.ANCHORARRAY($AE$2),ROW()-6)="","",IFERROR(_xlfn.XLOOKUP(INDEX(_xlfn.ANCHORARRAY($AE$2),ROW()-6),$AD$2:$AD$757,$G$2:$G$757),""))</f>
        <v>45716</v>
      </c>
      <c r="Y71" s="16" cm="1">
        <f t="array" ref="Y71">IF(INDEX(_xlfn.ANCHORARRAY($AE$2),ROW()-6)="","",IFERROR(_xlfn.XLOOKUP(INDEX(_xlfn.ANCHORARRAY($AE$2),ROW()-6),$AD$2:$AD$757,$H$2:$H$757),""))</f>
        <v>46446</v>
      </c>
      <c r="Z71" s="15" cm="1">
        <f t="array" ref="Z71">IF(INDEX(_xlfn.ANCHORARRAY($AE$2),ROW()-6)="","",SUMIFS($N$2:$N$757,$AD$2:$AD$757,INDEX(_xlfn.ANCHORARRAY($AE$2),ROW()-6)))</f>
        <v>309.62800000000004</v>
      </c>
      <c r="AA71" s="17" t="str" cm="1">
        <f t="array" ref="AA71">IF(OR(INDEX(_xlfn.ANCHORARRAY($AE$2),ROW()-6)="",W71=0,LEFT(INDEX(_xlfn.ANCHORARRAY($AE$2),ROW()-6),1)="3",LEFT(INDEX(_xlfn.ANCHORARRAY($AE$2),ROW()-6),1)="4"),IF(INDEX(_xlfn.ANCHORARRAY($AE$2),ROW()-6)="","","-"),Z71/W71)</f>
        <v>-</v>
      </c>
      <c r="AD71" s="20" t="str">
        <f>IF((B71="")+(B71="Vacante")+(D71=""),"",IFERROR(MATCH(D71,{"Oficinas";"Locales";"Estacionamientos";"Bodegas"},0),5)&amp;"|"&amp;B71&amp;"|"&amp;TEXT(G71,"yyyymmdd")&amp;"|"&amp;TEXT(H71,"yyyymmdd"))</f>
        <v>2|MERCADO ISIDORA |-|20321031</v>
      </c>
      <c r="AE71" s="4" t="str">
        <v>4|AMLV GRUPO|20260331|20280331</v>
      </c>
      <c r="AF71" s="4"/>
    </row>
    <row r="72" spans="1:32" x14ac:dyDescent="0.2">
      <c r="A72" s="5">
        <v>-1</v>
      </c>
      <c r="B72" s="6" t="s">
        <v>201</v>
      </c>
      <c r="C72" s="6" t="s">
        <v>78</v>
      </c>
      <c r="D72" s="6" t="s">
        <v>7</v>
      </c>
      <c r="E72" s="5" t="s">
        <v>85</v>
      </c>
      <c r="G72" s="9" t="s">
        <v>9</v>
      </c>
      <c r="H72" s="9">
        <v>48518</v>
      </c>
      <c r="I72" s="6" t="s">
        <v>5</v>
      </c>
      <c r="L72" s="18">
        <v>367.53999999999996</v>
      </c>
      <c r="M72" s="19">
        <v>0.8</v>
      </c>
      <c r="N72" s="18">
        <v>294.03199999999998</v>
      </c>
      <c r="T72" s="4" t="str">
        <v>Bodegas</v>
      </c>
      <c r="U72" s="4" t="str">
        <v xml:space="preserve">BLACK ROCK </v>
      </c>
      <c r="V72" s="10" t="str" cm="1">
        <f t="array" ref="V72">IF(INDEX(_xlfn.ANCHORARRAY($AE$2),ROW()-6)="","",_xlfn.TEXTJOIN(", ",TRUE,IF($AD$2:$AD$757=INDEX(_xlfn.ANCHORARRAY($AE$2),ROW()-6),$E$2:$E$757,"")))</f>
        <v>5040, 5041</v>
      </c>
      <c r="W72" s="15" cm="1">
        <f t="array" ref="W72">IF(INDEX(_xlfn.ANCHORARRAY($AE$2),ROW()-6)="","",SUMIFS($L$2:$L$757,$AD$2:$AD$757,INDEX(_xlfn.ANCHORARRAY($AE$2),ROW()-6)))</f>
        <v>2</v>
      </c>
      <c r="X72" s="16" cm="1">
        <f t="array" ref="X72">IF(INDEX(_xlfn.ANCHORARRAY($AE$2),ROW()-6)="","",IFERROR(_xlfn.XLOOKUP(INDEX(_xlfn.ANCHORARRAY($AE$2),ROW()-6),$AD$2:$AD$757,$G$2:$G$757),""))</f>
        <v>46522</v>
      </c>
      <c r="Y72" s="16" cm="1">
        <f t="array" ref="Y72">IF(INDEX(_xlfn.ANCHORARRAY($AE$2),ROW()-6)="","",IFERROR(_xlfn.XLOOKUP(INDEX(_xlfn.ANCHORARRAY($AE$2),ROW()-6),$AD$2:$AD$757,$H$2:$H$757),""))</f>
        <v>47497</v>
      </c>
      <c r="Z72" s="15" cm="1">
        <f t="array" ref="Z72">IF(INDEX(_xlfn.ANCHORARRAY($AE$2),ROW()-6)="","",SUMIFS($N$2:$N$757,$AD$2:$AD$757,INDEX(_xlfn.ANCHORARRAY($AE$2),ROW()-6)))</f>
        <v>8.6</v>
      </c>
      <c r="AA72" s="17" t="str" cm="1">
        <f t="array" ref="AA72">IF(OR(INDEX(_xlfn.ANCHORARRAY($AE$2),ROW()-6)="",W72=0,LEFT(INDEX(_xlfn.ANCHORARRAY($AE$2),ROW()-6),1)="3",LEFT(INDEX(_xlfn.ANCHORARRAY($AE$2),ROW()-6),1)="4"),IF(INDEX(_xlfn.ANCHORARRAY($AE$2),ROW()-6)="","","-"),Z72/W72)</f>
        <v>-</v>
      </c>
      <c r="AD72" s="20" t="str">
        <f>IF((B72="")+(B72="Vacante")+(D72=""),"",IFERROR(MATCH(D72,{"Oficinas";"Locales";"Estacionamientos";"Bodegas"},0),5)&amp;"|"&amp;B72&amp;"|"&amp;TEXT(G72,"yyyymmdd")&amp;"|"&amp;TEXT(H72,"yyyymmdd"))</f>
        <v>2|MERCADO ISIDORA |-|20321031</v>
      </c>
      <c r="AE72" s="4" t="str">
        <v>4|BLACK ROCK |-|20270630</v>
      </c>
      <c r="AF72" s="4"/>
    </row>
    <row r="73" spans="1:32" x14ac:dyDescent="0.2">
      <c r="A73" s="5">
        <v>-1</v>
      </c>
      <c r="B73" s="6" t="s">
        <v>201</v>
      </c>
      <c r="C73" s="6" t="s">
        <v>78</v>
      </c>
      <c r="D73" s="6" t="s">
        <v>7</v>
      </c>
      <c r="E73" s="5" t="s">
        <v>86</v>
      </c>
      <c r="G73" s="9" t="s">
        <v>9</v>
      </c>
      <c r="H73" s="9">
        <v>48518</v>
      </c>
      <c r="I73" s="6" t="s">
        <v>5</v>
      </c>
      <c r="L73" s="18">
        <v>82.94</v>
      </c>
      <c r="M73" s="19">
        <v>0.8</v>
      </c>
      <c r="N73" s="18">
        <v>66.352000000000004</v>
      </c>
      <c r="T73" s="4" t="str">
        <v>Bodegas</v>
      </c>
      <c r="U73" s="4" t="str">
        <v xml:space="preserve">BLACK ROCK </v>
      </c>
      <c r="V73" s="10" t="str" cm="1">
        <f t="array" ref="V73">IF(INDEX(_xlfn.ANCHORARRAY($AE$2),ROW()-6)="","",_xlfn.TEXTJOIN(", ",TRUE,IF($AD$2:$AD$757=INDEX(_xlfn.ANCHORARRAY($AE$2),ROW()-6),$E$2:$E$757,"")))</f>
        <v>6120, 6121</v>
      </c>
      <c r="W73" s="15" cm="1">
        <f t="array" ref="W73">IF(INDEX(_xlfn.ANCHORARRAY($AE$2),ROW()-6)="","",SUMIFS($L$2:$L$757,$AD$2:$AD$757,INDEX(_xlfn.ANCHORARRAY($AE$2),ROW()-6)))</f>
        <v>2</v>
      </c>
      <c r="X73" s="16" t="str" cm="1">
        <f t="array" ref="X73">IF(INDEX(_xlfn.ANCHORARRAY($AE$2),ROW()-6)="","",IFERROR(_xlfn.XLOOKUP(INDEX(_xlfn.ANCHORARRAY($AE$2),ROW()-6),$AD$2:$AD$757,$G$2:$G$757),""))</f>
        <v>-</v>
      </c>
      <c r="Y73" s="16" cm="1">
        <f t="array" ref="Y73">IF(INDEX(_xlfn.ANCHORARRAY($AE$2),ROW()-6)="","",IFERROR(_xlfn.XLOOKUP(INDEX(_xlfn.ANCHORARRAY($AE$2),ROW()-6),$AD$2:$AD$757,$H$2:$H$757),""))</f>
        <v>47497</v>
      </c>
      <c r="Z73" s="15" cm="1">
        <f t="array" ref="Z73">IF(INDEX(_xlfn.ANCHORARRAY($AE$2),ROW()-6)="","",SUMIFS($N$2:$N$757,$AD$2:$AD$757,INDEX(_xlfn.ANCHORARRAY($AE$2),ROW()-6)))</f>
        <v>13.4</v>
      </c>
      <c r="AA73" s="17" t="str" cm="1">
        <f t="array" ref="AA73">IF(OR(INDEX(_xlfn.ANCHORARRAY($AE$2),ROW()-6)="",W73=0,LEFT(INDEX(_xlfn.ANCHORARRAY($AE$2),ROW()-6),1)="3",LEFT(INDEX(_xlfn.ANCHORARRAY($AE$2),ROW()-6),1)="4"),IF(INDEX(_xlfn.ANCHORARRAY($AE$2),ROW()-6)="","","-"),Z73/W73)</f>
        <v>-</v>
      </c>
      <c r="AD73" s="20" t="str">
        <f>IF((B73="")+(B73="Vacante")+(D73=""),"",IFERROR(MATCH(D73,{"Oficinas";"Locales";"Estacionamientos";"Bodegas"},0),5)&amp;"|"&amp;B73&amp;"|"&amp;TEXT(G73,"yyyymmdd")&amp;"|"&amp;TEXT(H73,"yyyymmdd"))</f>
        <v>2|MERCADO ISIDORA |-|20321031</v>
      </c>
      <c r="AE73" s="4" t="str">
        <v>4|BLACK ROCK |20260101|20270630</v>
      </c>
      <c r="AF73" s="4"/>
    </row>
    <row r="74" spans="1:32" x14ac:dyDescent="0.2">
      <c r="A74" s="5">
        <v>-1</v>
      </c>
      <c r="B74" s="6" t="s">
        <v>201</v>
      </c>
      <c r="C74" s="6" t="s">
        <v>78</v>
      </c>
      <c r="D74" s="6" t="s">
        <v>7</v>
      </c>
      <c r="E74" s="5" t="s">
        <v>87</v>
      </c>
      <c r="G74" s="9" t="s">
        <v>9</v>
      </c>
      <c r="H74" s="9">
        <v>48518</v>
      </c>
      <c r="I74" s="6" t="s">
        <v>5</v>
      </c>
      <c r="L74" s="18">
        <v>26.86</v>
      </c>
      <c r="M74" s="19">
        <v>0.8</v>
      </c>
      <c r="N74" s="18">
        <v>21.488</v>
      </c>
      <c r="T74" s="4" t="str">
        <v>Bodegas</v>
      </c>
      <c r="U74" s="4" t="str">
        <v xml:space="preserve">BOEHRINGER </v>
      </c>
      <c r="V74" s="10" t="str" cm="1">
        <f t="array" ref="V74">IF(INDEX(_xlfn.ANCHORARRAY($AE$2),ROW()-6)="","",_xlfn.TEXTJOIN(", ",TRUE,IF($AD$2:$AD$757=INDEX(_xlfn.ANCHORARRAY($AE$2),ROW()-6),$E$2:$E$757,"")))</f>
        <v>5051, 7060, 7061</v>
      </c>
      <c r="W74" s="15" cm="1">
        <f t="array" ref="W74">IF(INDEX(_xlfn.ANCHORARRAY($AE$2),ROW()-6)="","",SUMIFS($L$2:$L$757,$AD$2:$AD$757,INDEX(_xlfn.ANCHORARRAY($AE$2),ROW()-6)))</f>
        <v>3</v>
      </c>
      <c r="X74" s="16" cm="1">
        <f t="array" ref="X74">IF(INDEX(_xlfn.ANCHORARRAY($AE$2),ROW()-6)="","",IFERROR(_xlfn.XLOOKUP(INDEX(_xlfn.ANCHORARRAY($AE$2),ROW()-6),$AD$2:$AD$757,$G$2:$G$757),""))</f>
        <v>47292</v>
      </c>
      <c r="Y74" s="16" cm="1">
        <f t="array" ref="Y74">IF(INDEX(_xlfn.ANCHORARRAY($AE$2),ROW()-6)="","",IFERROR(_xlfn.XLOOKUP(INDEX(_xlfn.ANCHORARRAY($AE$2),ROW()-6),$AD$2:$AD$757,$H$2:$H$757),""))</f>
        <v>48021</v>
      </c>
      <c r="Z74" s="15" cm="1">
        <f t="array" ref="Z74">IF(INDEX(_xlfn.ANCHORARRAY($AE$2),ROW()-6)="","",SUMIFS($N$2:$N$757,$AD$2:$AD$757,INDEX(_xlfn.ANCHORARRAY($AE$2),ROW()-6)))</f>
        <v>0</v>
      </c>
      <c r="AA74" s="17" t="str" cm="1">
        <f t="array" ref="AA74">IF(OR(INDEX(_xlfn.ANCHORARRAY($AE$2),ROW()-6)="",W74=0,LEFT(INDEX(_xlfn.ANCHORARRAY($AE$2),ROW()-6),1)="3",LEFT(INDEX(_xlfn.ANCHORARRAY($AE$2),ROW()-6),1)="4"),IF(INDEX(_xlfn.ANCHORARRAY($AE$2),ROW()-6)="","","-"),Z74/W74)</f>
        <v>-</v>
      </c>
      <c r="AD74" s="20" t="str">
        <f>IF((B74="")+(B74="Vacante")+(D74=""),"",IFERROR(MATCH(D74,{"Oficinas";"Locales";"Estacionamientos";"Bodegas"},0),5)&amp;"|"&amp;B74&amp;"|"&amp;TEXT(G74,"yyyymmdd")&amp;"|"&amp;TEXT(H74,"yyyymmdd"))</f>
        <v>2|MERCADO ISIDORA |-|20321031</v>
      </c>
      <c r="AE74" s="4" t="str">
        <v>4|BOEHRINGER |-|20290430</v>
      </c>
      <c r="AF74" s="4"/>
    </row>
    <row r="75" spans="1:32" x14ac:dyDescent="0.2">
      <c r="A75" s="5">
        <v>-1</v>
      </c>
      <c r="B75" s="6" t="s">
        <v>199</v>
      </c>
      <c r="C75" s="6" t="s">
        <v>88</v>
      </c>
      <c r="D75" s="6" t="s">
        <v>6</v>
      </c>
      <c r="E75" s="5" t="s">
        <v>89</v>
      </c>
      <c r="F75" s="6" t="s">
        <v>90</v>
      </c>
      <c r="G75" s="9" t="s">
        <v>9</v>
      </c>
      <c r="H75" s="9">
        <v>47634</v>
      </c>
      <c r="I75" s="6" t="s">
        <v>5</v>
      </c>
      <c r="L75" s="18">
        <v>685.57999999999993</v>
      </c>
      <c r="M75" s="19">
        <v>0.4</v>
      </c>
      <c r="N75" s="18">
        <v>274.23199999999997</v>
      </c>
      <c r="T75" s="4" t="str">
        <v>Bodegas</v>
      </c>
      <c r="U75" s="4" t="str">
        <v>CASA DEL HABANO</v>
      </c>
      <c r="V75" s="10" t="str" cm="1">
        <f t="array" ref="V75">IF(INDEX(_xlfn.ANCHORARRAY($AE$2),ROW()-6)="","",_xlfn.TEXTJOIN(", ",TRUE,IF($AD$2:$AD$757=INDEX(_xlfn.ANCHORARRAY($AE$2),ROW()-6),$E$2:$E$757,"")))</f>
        <v>6132, 6133, 6134, 6139</v>
      </c>
      <c r="W75" s="15" cm="1">
        <f t="array" ref="W75">IF(INDEX(_xlfn.ANCHORARRAY($AE$2),ROW()-6)="","",SUMIFS($L$2:$L$757,$AD$2:$AD$757,INDEX(_xlfn.ANCHORARRAY($AE$2),ROW()-6)))</f>
        <v>4</v>
      </c>
      <c r="X75" s="16" t="str" cm="1">
        <f t="array" ref="X75">IF(INDEX(_xlfn.ANCHORARRAY($AE$2),ROW()-6)="","",IFERROR(_xlfn.XLOOKUP(INDEX(_xlfn.ANCHORARRAY($AE$2),ROW()-6),$AD$2:$AD$757,$G$2:$G$757),""))</f>
        <v>-</v>
      </c>
      <c r="Y75" s="16" cm="1">
        <f t="array" ref="Y75">IF(INDEX(_xlfn.ANCHORARRAY($AE$2),ROW()-6)="","",IFERROR(_xlfn.XLOOKUP(INDEX(_xlfn.ANCHORARRAY($AE$2),ROW()-6),$AD$2:$AD$757,$H$2:$H$757),""))</f>
        <v>46142</v>
      </c>
      <c r="Z75" s="15" cm="1">
        <f t="array" ref="Z75">IF(INDEX(_xlfn.ANCHORARRAY($AE$2),ROW()-6)="","",SUMIFS($N$2:$N$757,$AD$2:$AD$757,INDEX(_xlfn.ANCHORARRAY($AE$2),ROW()-6)))</f>
        <v>22.3</v>
      </c>
      <c r="AA75" s="17" t="str" cm="1">
        <f t="array" ref="AA75">IF(OR(INDEX(_xlfn.ANCHORARRAY($AE$2),ROW()-6)="",W75=0,LEFT(INDEX(_xlfn.ANCHORARRAY($AE$2),ROW()-6),1)="3",LEFT(INDEX(_xlfn.ANCHORARRAY($AE$2),ROW()-6),1)="4"),IF(INDEX(_xlfn.ANCHORARRAY($AE$2),ROW()-6)="","","-"),Z75/W75)</f>
        <v>-</v>
      </c>
      <c r="AD75" s="20" t="str">
        <f>IF((B75="")+(B75="Vacante")+(D75=""),"",IFERROR(MATCH(D75,{"Oficinas";"Locales";"Estacionamientos";"Bodegas"},0),5)&amp;"|"&amp;B75&amp;"|"&amp;TEXT(G75,"yyyymmdd")&amp;"|"&amp;TEXT(H75,"yyyymmdd"))</f>
        <v>1|PROGARANTIA |-|20300531</v>
      </c>
      <c r="AE75" s="4" t="str">
        <v>4|CASA DEL HABANO|-|20281231</v>
      </c>
      <c r="AF75" s="4"/>
    </row>
    <row r="76" spans="1:32" x14ac:dyDescent="0.2">
      <c r="A76" s="5">
        <v>-2</v>
      </c>
      <c r="B76" s="6" t="s">
        <v>199</v>
      </c>
      <c r="C76" s="6" t="s">
        <v>88</v>
      </c>
      <c r="D76" s="6" t="s">
        <v>6</v>
      </c>
      <c r="E76" s="5" t="s">
        <v>91</v>
      </c>
      <c r="G76" s="9" t="s">
        <v>9</v>
      </c>
      <c r="H76" s="9">
        <v>47634</v>
      </c>
      <c r="I76" s="6" t="s">
        <v>5</v>
      </c>
      <c r="L76" s="18">
        <v>655.4</v>
      </c>
      <c r="M76" s="19">
        <v>0.40000000000000008</v>
      </c>
      <c r="N76" s="18">
        <v>262.16000000000003</v>
      </c>
      <c r="T76" s="4" t="str">
        <v>Bodegas</v>
      </c>
      <c r="U76" s="4" t="str">
        <v>DEUTSCHE PHARMA</v>
      </c>
      <c r="V76" s="10" t="str" cm="1">
        <f t="array" ref="V76">IF(INDEX(_xlfn.ANCHORARRAY($AE$2),ROW()-6)="","",_xlfn.TEXTJOIN(", ",TRUE,IF($AD$2:$AD$757=INDEX(_xlfn.ANCHORARRAY($AE$2),ROW()-6),$E$2:$E$757,"")))</f>
        <v>616, 617, 618</v>
      </c>
      <c r="W76" s="15" cm="1">
        <f t="array" ref="W76">IF(INDEX(_xlfn.ANCHORARRAY($AE$2),ROW()-6)="","",SUMIFS($L$2:$L$757,$AD$2:$AD$757,INDEX(_xlfn.ANCHORARRAY($AE$2),ROW()-6)))</f>
        <v>13.459999999999999</v>
      </c>
      <c r="X76" s="16" cm="1">
        <f t="array" ref="X76">IF(INDEX(_xlfn.ANCHORARRAY($AE$2),ROW()-6)="","",IFERROR(_xlfn.XLOOKUP(INDEX(_xlfn.ANCHORARRAY($AE$2),ROW()-6),$AD$2:$AD$757,$G$2:$G$757),""))</f>
        <v>46112</v>
      </c>
      <c r="Y76" s="16" cm="1">
        <f t="array" ref="Y76">IF(INDEX(_xlfn.ANCHORARRAY($AE$2),ROW()-6)="","",IFERROR(_xlfn.XLOOKUP(INDEX(_xlfn.ANCHORARRAY($AE$2),ROW()-6),$AD$2:$AD$757,$H$2:$H$757),""))</f>
        <v>46843</v>
      </c>
      <c r="Z76" s="15" cm="1">
        <f t="array" ref="Z76">IF(INDEX(_xlfn.ANCHORARRAY($AE$2),ROW()-6)="","",SUMIFS($N$2:$N$757,$AD$2:$AD$757,INDEX(_xlfn.ANCHORARRAY($AE$2),ROW()-6)))</f>
        <v>4.0379999999999994</v>
      </c>
      <c r="AA76" s="17" t="str" cm="1">
        <f t="array" ref="AA76">IF(OR(INDEX(_xlfn.ANCHORARRAY($AE$2),ROW()-6)="",W76=0,LEFT(INDEX(_xlfn.ANCHORARRAY($AE$2),ROW()-6),1)="3",LEFT(INDEX(_xlfn.ANCHORARRAY($AE$2),ROW()-6),1)="4"),IF(INDEX(_xlfn.ANCHORARRAY($AE$2),ROW()-6)="","","-"),Z76/W76)</f>
        <v>-</v>
      </c>
      <c r="AD76" s="20" t="str">
        <f>IF((B76="")+(B76="Vacante")+(D76=""),"",IFERROR(MATCH(D76,{"Oficinas";"Locales";"Estacionamientos";"Bodegas"},0),5)&amp;"|"&amp;B76&amp;"|"&amp;TEXT(G76,"yyyymmdd")&amp;"|"&amp;TEXT(H76,"yyyymmdd"))</f>
        <v>1|PROGARANTIA |-|20300531</v>
      </c>
      <c r="AE76" s="4" t="str">
        <v>4|DEUTSCHE PHARMA|20270515|20290831</v>
      </c>
      <c r="AF76" s="4"/>
    </row>
    <row r="77" spans="1:32" x14ac:dyDescent="0.2">
      <c r="A77" s="5">
        <v>-2</v>
      </c>
      <c r="B77" s="6" t="s">
        <v>206</v>
      </c>
      <c r="C77" s="6" t="s">
        <v>71</v>
      </c>
      <c r="D77" s="6" t="s">
        <v>10</v>
      </c>
      <c r="E77" s="5" t="s">
        <v>92</v>
      </c>
      <c r="F77" s="6" t="s">
        <v>93</v>
      </c>
      <c r="G77" s="9">
        <v>45716</v>
      </c>
      <c r="H77" s="9">
        <v>46446</v>
      </c>
      <c r="I77" s="6" t="s">
        <v>2</v>
      </c>
      <c r="L77" s="18">
        <v>1</v>
      </c>
      <c r="M77" s="19">
        <v>11.920727272727275</v>
      </c>
      <c r="N77" s="18">
        <v>11.920727272727275</v>
      </c>
      <c r="T77" s="4" t="str">
        <v>Bodegas</v>
      </c>
      <c r="U77" s="4" t="str">
        <v>DEVON</v>
      </c>
      <c r="V77" s="10" t="str" cm="1">
        <f t="array" ref="V77">IF(INDEX(_xlfn.ANCHORARRAY($AE$2),ROW()-6)="","",_xlfn.TEXTJOIN(", ",TRUE,IF($AD$2:$AD$757=INDEX(_xlfn.ANCHORARRAY($AE$2),ROW()-6),$E$2:$E$757,"")))</f>
        <v>709</v>
      </c>
      <c r="W77" s="15" cm="1">
        <f t="array" ref="W77">IF(INDEX(_xlfn.ANCHORARRAY($AE$2),ROW()-6)="","",SUMIFS($L$2:$L$757,$AD$2:$AD$757,INDEX(_xlfn.ANCHORARRAY($AE$2),ROW()-6)))</f>
        <v>8.93</v>
      </c>
      <c r="X77" s="16" t="str" cm="1">
        <f t="array" ref="X77">IF(INDEX(_xlfn.ANCHORARRAY($AE$2),ROW()-6)="","",IFERROR(_xlfn.XLOOKUP(INDEX(_xlfn.ANCHORARRAY($AE$2),ROW()-6),$AD$2:$AD$757,$G$2:$G$757),""))</f>
        <v>-</v>
      </c>
      <c r="Y77" s="16" cm="1">
        <f t="array" ref="Y77">IF(INDEX(_xlfn.ANCHORARRAY($AE$2),ROW()-6)="","",IFERROR(_xlfn.XLOOKUP(INDEX(_xlfn.ANCHORARRAY($AE$2),ROW()-6),$AD$2:$AD$757,$H$2:$H$757),""))</f>
        <v>46568</v>
      </c>
      <c r="Z77" s="15" cm="1">
        <f t="array" ref="Z77">IF(INDEX(_xlfn.ANCHORARRAY($AE$2),ROW()-6)="","",SUMIFS($N$2:$N$757,$AD$2:$AD$757,INDEX(_xlfn.ANCHORARRAY($AE$2),ROW()-6)))</f>
        <v>2.6789999999999998</v>
      </c>
      <c r="AA77" s="17" t="str" cm="1">
        <f t="array" ref="AA77">IF(OR(INDEX(_xlfn.ANCHORARRAY($AE$2),ROW()-6)="",W77=0,LEFT(INDEX(_xlfn.ANCHORARRAY($AE$2),ROW()-6),1)="3",LEFT(INDEX(_xlfn.ANCHORARRAY($AE$2),ROW()-6),1)="4"),IF(INDEX(_xlfn.ANCHORARRAY($AE$2),ROW()-6)="","","-"),Z77/W77)</f>
        <v>-</v>
      </c>
      <c r="AD77" s="20" t="str">
        <f>IF((B77="")+(B77="Vacante")+(D77=""),"",IFERROR(MATCH(D77,{"Oficinas";"Locales";"Estacionamientos";"Bodegas"},0),5)&amp;"|"&amp;B77&amp;"|"&amp;TEXT(G77,"yyyymmdd")&amp;"|"&amp;TEXT(H77,"yyyymmdd"))</f>
        <v>3|TATTERSAL|20250228|20270228</v>
      </c>
      <c r="AE77" s="4" t="str">
        <v>4|DEVON|-|20260719</v>
      </c>
      <c r="AF77" s="4"/>
    </row>
    <row r="78" spans="1:32" x14ac:dyDescent="0.2">
      <c r="A78" s="5">
        <v>-2</v>
      </c>
      <c r="B78" s="6" t="s">
        <v>206</v>
      </c>
      <c r="C78" s="6" t="s">
        <v>71</v>
      </c>
      <c r="D78" s="6" t="s">
        <v>10</v>
      </c>
      <c r="E78" s="5" t="s">
        <v>92</v>
      </c>
      <c r="F78" s="6" t="s">
        <v>94</v>
      </c>
      <c r="G78" s="9">
        <v>45716</v>
      </c>
      <c r="H78" s="9">
        <v>46446</v>
      </c>
      <c r="I78" s="6" t="s">
        <v>2</v>
      </c>
      <c r="L78" s="18">
        <v>1</v>
      </c>
      <c r="M78" s="19">
        <v>11.920727272727275</v>
      </c>
      <c r="N78" s="18">
        <v>11.920727272727275</v>
      </c>
      <c r="T78" s="4" t="str">
        <v>Bodegas</v>
      </c>
      <c r="U78" s="4" t="str">
        <v>GLOBALFLEX</v>
      </c>
      <c r="V78" s="10" t="str" cm="1">
        <f t="array" ref="V78">IF(INDEX(_xlfn.ANCHORARRAY($AE$2),ROW()-6)="","",_xlfn.TEXTJOIN(", ",TRUE,IF($AD$2:$AD$757=INDEX(_xlfn.ANCHORARRAY($AE$2),ROW()-6),$E$2:$E$757,"")))</f>
        <v>710</v>
      </c>
      <c r="W78" s="15" cm="1">
        <f t="array" ref="W78">IF(INDEX(_xlfn.ANCHORARRAY($AE$2),ROW()-6)="","",SUMIFS($L$2:$L$757,$AD$2:$AD$757,INDEX(_xlfn.ANCHORARRAY($AE$2),ROW()-6)))</f>
        <v>12.91</v>
      </c>
      <c r="X78" s="16" cm="1">
        <f t="array" ref="X78">IF(INDEX(_xlfn.ANCHORARRAY($AE$2),ROW()-6)="","",IFERROR(_xlfn.XLOOKUP(INDEX(_xlfn.ANCHORARRAY($AE$2),ROW()-6),$AD$2:$AD$757,$G$2:$G$757),""))</f>
        <v>46023</v>
      </c>
      <c r="Y78" s="16" cm="1">
        <f t="array" ref="Y78">IF(INDEX(_xlfn.ANCHORARRAY($AE$2),ROW()-6)="","",IFERROR(_xlfn.XLOOKUP(INDEX(_xlfn.ANCHORARRAY($AE$2),ROW()-6),$AD$2:$AD$757,$H$2:$H$757),""))</f>
        <v>46568</v>
      </c>
      <c r="Z78" s="15" cm="1">
        <f t="array" ref="Z78">IF(INDEX(_xlfn.ANCHORARRAY($AE$2),ROW()-6)="","",SUMIFS($N$2:$N$757,$AD$2:$AD$757,INDEX(_xlfn.ANCHORARRAY($AE$2),ROW()-6)))</f>
        <v>3.8729999999999998</v>
      </c>
      <c r="AA78" s="17" t="str" cm="1">
        <f t="array" ref="AA78">IF(OR(INDEX(_xlfn.ANCHORARRAY($AE$2),ROW()-6)="",W78=0,LEFT(INDEX(_xlfn.ANCHORARRAY($AE$2),ROW()-6),1)="3",LEFT(INDEX(_xlfn.ANCHORARRAY($AE$2),ROW()-6),1)="4"),IF(INDEX(_xlfn.ANCHORARRAY($AE$2),ROW()-6)="","","-"),Z78/W78)</f>
        <v>-</v>
      </c>
      <c r="AD78" s="20" t="str">
        <f>IF((B78="")+(B78="Vacante")+(D78=""),"",IFERROR(MATCH(D78,{"Oficinas";"Locales";"Estacionamientos";"Bodegas"},0),5)&amp;"|"&amp;B78&amp;"|"&amp;TEXT(G78,"yyyymmdd")&amp;"|"&amp;TEXT(H78,"yyyymmdd"))</f>
        <v>3|TATTERSAL|20250228|20270228</v>
      </c>
      <c r="AE78" s="4" t="str">
        <v>4|GLOBALFLEX|-|20271110</v>
      </c>
      <c r="AF78" s="4"/>
    </row>
    <row r="79" spans="1:32" x14ac:dyDescent="0.2">
      <c r="A79" s="5">
        <v>-2</v>
      </c>
      <c r="B79" s="6" t="s">
        <v>206</v>
      </c>
      <c r="C79" s="6" t="s">
        <v>71</v>
      </c>
      <c r="D79" s="6" t="s">
        <v>10</v>
      </c>
      <c r="E79" s="5" t="s">
        <v>92</v>
      </c>
      <c r="F79" s="6" t="s">
        <v>95</v>
      </c>
      <c r="G79" s="9">
        <v>45716</v>
      </c>
      <c r="H79" s="9">
        <v>46446</v>
      </c>
      <c r="I79" s="6" t="s">
        <v>2</v>
      </c>
      <c r="L79" s="18">
        <v>1</v>
      </c>
      <c r="M79" s="19">
        <v>11.920727272727275</v>
      </c>
      <c r="N79" s="18">
        <v>11.920727272727275</v>
      </c>
      <c r="T79" s="4" t="str">
        <v>Bodegas</v>
      </c>
      <c r="U79" s="4" t="str">
        <v>JOHNSON HEALTH TECH</v>
      </c>
      <c r="V79" s="10" t="str" cm="1">
        <f t="array" ref="V79">IF(INDEX(_xlfn.ANCHORARRAY($AE$2),ROW()-6)="","",_xlfn.TEXTJOIN(", ",TRUE,IF($AD$2:$AD$757=INDEX(_xlfn.ANCHORARRAY($AE$2),ROW()-6),$E$2:$E$757,"")))</f>
        <v>704, 705, 706, 712, 713, 714</v>
      </c>
      <c r="W79" s="15" cm="1">
        <f t="array" ref="W79">IF(INDEX(_xlfn.ANCHORARRAY($AE$2),ROW()-6)="","",SUMIFS($L$2:$L$757,$AD$2:$AD$757,INDEX(_xlfn.ANCHORARRAY($AE$2),ROW()-6)))</f>
        <v>54.62</v>
      </c>
      <c r="X79" s="16" t="str" cm="1">
        <f t="array" ref="X79">IF(INDEX(_xlfn.ANCHORARRAY($AE$2),ROW()-6)="","",IFERROR(_xlfn.XLOOKUP(INDEX(_xlfn.ANCHORARRAY($AE$2),ROW()-6),$AD$2:$AD$757,$G$2:$G$757),""))</f>
        <v>-</v>
      </c>
      <c r="Y79" s="16" cm="1">
        <f t="array" ref="Y79">IF(INDEX(_xlfn.ANCHORARRAY($AE$2),ROW()-6)="","",IFERROR(_xlfn.XLOOKUP(INDEX(_xlfn.ANCHORARRAY($AE$2),ROW()-6),$AD$2:$AD$757,$H$2:$H$757),""))</f>
        <v>47238</v>
      </c>
      <c r="Z79" s="15" cm="1">
        <f t="array" ref="Z79">IF(INDEX(_xlfn.ANCHORARRAY($AE$2),ROW()-6)="","",SUMIFS($N$2:$N$757,$AD$2:$AD$757,INDEX(_xlfn.ANCHORARRAY($AE$2),ROW()-6)))</f>
        <v>16.356539999999999</v>
      </c>
      <c r="AA79" s="17" t="str" cm="1">
        <f t="array" ref="AA79">IF(OR(INDEX(_xlfn.ANCHORARRAY($AE$2),ROW()-6)="",W79=0,LEFT(INDEX(_xlfn.ANCHORARRAY($AE$2),ROW()-6),1)="3",LEFT(INDEX(_xlfn.ANCHORARRAY($AE$2),ROW()-6),1)="4"),IF(INDEX(_xlfn.ANCHORARRAY($AE$2),ROW()-6)="","","-"),Z79/W79)</f>
        <v>-</v>
      </c>
      <c r="AD79" s="20" t="str">
        <f>IF((B79="")+(B79="Vacante")+(D79=""),"",IFERROR(MATCH(D79,{"Oficinas";"Locales";"Estacionamientos";"Bodegas"},0),5)&amp;"|"&amp;B79&amp;"|"&amp;TEXT(G79,"yyyymmdd")&amp;"|"&amp;TEXT(H79,"yyyymmdd"))</f>
        <v>3|TATTERSAL|20250228|20270228</v>
      </c>
      <c r="AE79" s="4" t="str">
        <v>4|JOHNSON HEALTH TECH|-|20300630</v>
      </c>
      <c r="AF79" s="4"/>
    </row>
    <row r="80" spans="1:32" x14ac:dyDescent="0.2">
      <c r="A80" s="5">
        <v>-2</v>
      </c>
      <c r="B80" s="6" t="s">
        <v>206</v>
      </c>
      <c r="C80" s="6" t="s">
        <v>71</v>
      </c>
      <c r="D80" s="6" t="s">
        <v>10</v>
      </c>
      <c r="E80" s="5" t="s">
        <v>92</v>
      </c>
      <c r="F80" s="6" t="s">
        <v>96</v>
      </c>
      <c r="G80" s="9">
        <v>45716</v>
      </c>
      <c r="H80" s="9">
        <v>46446</v>
      </c>
      <c r="I80" s="6" t="s">
        <v>2</v>
      </c>
      <c r="L80" s="18">
        <v>1</v>
      </c>
      <c r="M80" s="19">
        <v>11.920727272727275</v>
      </c>
      <c r="N80" s="18">
        <v>11.920727272727275</v>
      </c>
      <c r="T80" s="4" t="str">
        <v>Bodegas</v>
      </c>
      <c r="U80" s="4" t="str">
        <v xml:space="preserve">MERCADO ISIDORA </v>
      </c>
      <c r="V80" s="10" t="str" cm="1">
        <f t="array" ref="V80">IF(INDEX(_xlfn.ANCHORARRAY($AE$2),ROW()-6)="","",_xlfn.TEXTJOIN(", ",TRUE,IF($AD$2:$AD$757=INDEX(_xlfn.ANCHORARRAY($AE$2),ROW()-6),$E$2:$E$757,"")))</f>
        <v>711, 908, 909, 910</v>
      </c>
      <c r="W80" s="15" cm="1">
        <f t="array" ref="W80">IF(INDEX(_xlfn.ANCHORARRAY($AE$2),ROW()-6)="","",SUMIFS($L$2:$L$757,$AD$2:$AD$757,INDEX(_xlfn.ANCHORARRAY($AE$2),ROW()-6)))</f>
        <v>57.22</v>
      </c>
      <c r="X80" s="16" t="str" cm="1">
        <f t="array" ref="X80">IF(INDEX(_xlfn.ANCHORARRAY($AE$2),ROW()-6)="","",IFERROR(_xlfn.XLOOKUP(INDEX(_xlfn.ANCHORARRAY($AE$2),ROW()-6),$AD$2:$AD$757,$G$2:$G$757),""))</f>
        <v>-</v>
      </c>
      <c r="Y80" s="16" cm="1">
        <f t="array" ref="Y80">IF(INDEX(_xlfn.ANCHORARRAY($AE$2),ROW()-6)="","",IFERROR(_xlfn.XLOOKUP(INDEX(_xlfn.ANCHORARRAY($AE$2),ROW()-6),$AD$2:$AD$757,$H$2:$H$757),""))</f>
        <v>47118</v>
      </c>
      <c r="Z80" s="15" cm="1">
        <f t="array" ref="Z80">IF(INDEX(_xlfn.ANCHORARRAY($AE$2),ROW()-6)="","",SUMIFS($N$2:$N$757,$AD$2:$AD$757,INDEX(_xlfn.ANCHORARRAY($AE$2),ROW()-6)))</f>
        <v>14.625</v>
      </c>
      <c r="AA80" s="17" t="str" cm="1">
        <f t="array" ref="AA80">IF(OR(INDEX(_xlfn.ANCHORARRAY($AE$2),ROW()-6)="",W80=0,LEFT(INDEX(_xlfn.ANCHORARRAY($AE$2),ROW()-6),1)="3",LEFT(INDEX(_xlfn.ANCHORARRAY($AE$2),ROW()-6),1)="4"),IF(INDEX(_xlfn.ANCHORARRAY($AE$2),ROW()-6)="","","-"),Z80/W80)</f>
        <v>-</v>
      </c>
      <c r="AD80" s="20" t="str">
        <f>IF((B80="")+(B80="Vacante")+(D80=""),"",IFERROR(MATCH(D80,{"Oficinas";"Locales";"Estacionamientos";"Bodegas"},0),5)&amp;"|"&amp;B80&amp;"|"&amp;TEXT(G80,"yyyymmdd")&amp;"|"&amp;TEXT(H80,"yyyymmdd"))</f>
        <v>3|TATTERSAL|20250228|20270228</v>
      </c>
      <c r="AE80" s="4" t="str">
        <v>4|MERCADO ISIDORA |-|20260531</v>
      </c>
      <c r="AF80" s="4"/>
    </row>
    <row r="81" spans="1:32" x14ac:dyDescent="0.2">
      <c r="A81" s="5">
        <v>-2</v>
      </c>
      <c r="B81" s="6" t="s">
        <v>206</v>
      </c>
      <c r="C81" s="6" t="s">
        <v>71</v>
      </c>
      <c r="D81" s="6" t="s">
        <v>10</v>
      </c>
      <c r="E81" s="5" t="s">
        <v>92</v>
      </c>
      <c r="F81" s="6" t="s">
        <v>97</v>
      </c>
      <c r="G81" s="9">
        <v>45716</v>
      </c>
      <c r="H81" s="9">
        <v>46446</v>
      </c>
      <c r="I81" s="6" t="s">
        <v>2</v>
      </c>
      <c r="L81" s="18">
        <v>1</v>
      </c>
      <c r="M81" s="19">
        <v>11.920727272727275</v>
      </c>
      <c r="N81" s="18">
        <v>11.920727272727275</v>
      </c>
      <c r="T81" s="4" t="str">
        <v>Bodegas</v>
      </c>
      <c r="U81" s="4" t="str">
        <v xml:space="preserve">PRICE FORBES </v>
      </c>
      <c r="V81" s="10" t="str" cm="1">
        <f t="array" ref="V81">IF(INDEX(_xlfn.ANCHORARRAY($AE$2),ROW()-6)="","",_xlfn.TEXTJOIN(", ",TRUE,IF($AD$2:$AD$757=INDEX(_xlfn.ANCHORARRAY($AE$2),ROW()-6),$E$2:$E$757,"")))</f>
        <v>810, 813, 814</v>
      </c>
      <c r="W81" s="15" cm="1">
        <f t="array" ref="W81">IF(INDEX(_xlfn.ANCHORARRAY($AE$2),ROW()-6)="","",SUMIFS($L$2:$L$757,$AD$2:$AD$757,INDEX(_xlfn.ANCHORARRAY($AE$2),ROW()-6)))</f>
        <v>31.42</v>
      </c>
      <c r="X81" s="16" cm="1">
        <f t="array" ref="X81">IF(INDEX(_xlfn.ANCHORARRAY($AE$2),ROW()-6)="","",IFERROR(_xlfn.XLOOKUP(INDEX(_xlfn.ANCHORARRAY($AE$2),ROW()-6),$AD$2:$AD$757,$G$2:$G$757),""))</f>
        <v>46522</v>
      </c>
      <c r="Y81" s="16" cm="1">
        <f t="array" ref="Y81">IF(INDEX(_xlfn.ANCHORARRAY($AE$2),ROW()-6)="","",IFERROR(_xlfn.XLOOKUP(INDEX(_xlfn.ANCHORARRAY($AE$2),ROW()-6),$AD$2:$AD$757,$H$2:$H$757),""))</f>
        <v>47361</v>
      </c>
      <c r="Z81" s="15" cm="1">
        <f t="array" ref="Z81">IF(INDEX(_xlfn.ANCHORARRAY($AE$2),ROW()-6)="","",SUMIFS($N$2:$N$757,$AD$2:$AD$757,INDEX(_xlfn.ANCHORARRAY($AE$2),ROW()-6)))</f>
        <v>9.4260000000000002</v>
      </c>
      <c r="AA81" s="17" t="str" cm="1">
        <f t="array" ref="AA81">IF(OR(INDEX(_xlfn.ANCHORARRAY($AE$2),ROW()-6)="",W81=0,LEFT(INDEX(_xlfn.ANCHORARRAY($AE$2),ROW()-6),1)="3",LEFT(INDEX(_xlfn.ANCHORARRAY($AE$2),ROW()-6),1)="4"),IF(INDEX(_xlfn.ANCHORARRAY($AE$2),ROW()-6)="","","-"),Z81/W81)</f>
        <v>-</v>
      </c>
      <c r="AD81" s="20" t="str">
        <f>IF((B81="")+(B81="Vacante")+(D81=""),"",IFERROR(MATCH(D81,{"Oficinas";"Locales";"Estacionamientos";"Bodegas"},0),5)&amp;"|"&amp;B81&amp;"|"&amp;TEXT(G81,"yyyymmdd")&amp;"|"&amp;TEXT(H81,"yyyymmdd"))</f>
        <v>3|TATTERSAL|20250228|20270228</v>
      </c>
      <c r="AE81" s="4" t="str">
        <v>4|PRICE FORBES |20270311|20290310</v>
      </c>
      <c r="AF81" s="4"/>
    </row>
    <row r="82" spans="1:32" x14ac:dyDescent="0.2">
      <c r="A82" s="5">
        <v>-2</v>
      </c>
      <c r="B82" s="6" t="s">
        <v>206</v>
      </c>
      <c r="C82" s="6" t="s">
        <v>71</v>
      </c>
      <c r="D82" s="6" t="s">
        <v>10</v>
      </c>
      <c r="E82" s="5" t="s">
        <v>92</v>
      </c>
      <c r="F82" s="6" t="s">
        <v>98</v>
      </c>
      <c r="G82" s="9">
        <v>45716</v>
      </c>
      <c r="H82" s="9">
        <v>46446</v>
      </c>
      <c r="I82" s="6" t="s">
        <v>2</v>
      </c>
      <c r="L82" s="18">
        <v>1</v>
      </c>
      <c r="M82" s="19">
        <v>11.920727272727275</v>
      </c>
      <c r="N82" s="18">
        <v>11.920727272727275</v>
      </c>
      <c r="T82" s="4" t="str">
        <v>Bodegas</v>
      </c>
      <c r="U82" s="4" t="str">
        <v xml:space="preserve">PROGARANTIA </v>
      </c>
      <c r="V82" s="10" t="str" cm="1">
        <f t="array" ref="V82">IF(INDEX(_xlfn.ANCHORARRAY($AE$2),ROW()-6)="","",_xlfn.TEXTJOIN(", ",TRUE,IF($AD$2:$AD$757=INDEX(_xlfn.ANCHORARRAY($AE$2),ROW()-6),$E$2:$E$757,"")))</f>
        <v>717</v>
      </c>
      <c r="W82" s="15" cm="1">
        <f t="array" ref="W82">IF(INDEX(_xlfn.ANCHORARRAY($AE$2),ROW()-6)="","",SUMIFS($L$2:$L$757,$AD$2:$AD$757,INDEX(_xlfn.ANCHORARRAY($AE$2),ROW()-6)))</f>
        <v>4.68</v>
      </c>
      <c r="X82" s="16" t="str" cm="1">
        <f t="array" ref="X82">IF(INDEX(_xlfn.ANCHORARRAY($AE$2),ROW()-6)="","",IFERROR(_xlfn.XLOOKUP(INDEX(_xlfn.ANCHORARRAY($AE$2),ROW()-6),$AD$2:$AD$757,$G$2:$G$757),""))</f>
        <v>-</v>
      </c>
      <c r="Y82" s="16" cm="1">
        <f t="array" ref="Y82">IF(INDEX(_xlfn.ANCHORARRAY($AE$2),ROW()-6)="","",IFERROR(_xlfn.XLOOKUP(INDEX(_xlfn.ANCHORARRAY($AE$2),ROW()-6),$AD$2:$AD$757,$H$2:$H$757),""))</f>
        <v>46222</v>
      </c>
      <c r="Z82" s="15" cm="1">
        <f t="array" ref="Z82">IF(INDEX(_xlfn.ANCHORARRAY($AE$2),ROW()-6)="","",SUMIFS($N$2:$N$757,$AD$2:$AD$757,INDEX(_xlfn.ANCHORARRAY($AE$2),ROW()-6)))</f>
        <v>1.4039999999999999</v>
      </c>
      <c r="AA82" s="17" t="str" cm="1">
        <f t="array" ref="AA82">IF(OR(INDEX(_xlfn.ANCHORARRAY($AE$2),ROW()-6)="",W82=0,LEFT(INDEX(_xlfn.ANCHORARRAY($AE$2),ROW()-6),1)="3",LEFT(INDEX(_xlfn.ANCHORARRAY($AE$2),ROW()-6),1)="4"),IF(INDEX(_xlfn.ANCHORARRAY($AE$2),ROW()-6)="","","-"),Z82/W82)</f>
        <v>-</v>
      </c>
      <c r="AD82" s="20" t="str">
        <f>IF((B82="")+(B82="Vacante")+(D82=""),"",IFERROR(MATCH(D82,{"Oficinas";"Locales";"Estacionamientos";"Bodegas"},0),5)&amp;"|"&amp;B82&amp;"|"&amp;TEXT(G82,"yyyymmdd")&amp;"|"&amp;TEXT(H82,"yyyymmdd"))</f>
        <v>3|TATTERSAL|20250228|20270228</v>
      </c>
      <c r="AE82" s="4" t="str">
        <v>4|PROGARANTIA |-|20300531</v>
      </c>
      <c r="AF82" s="4"/>
    </row>
    <row r="83" spans="1:32" x14ac:dyDescent="0.2">
      <c r="A83" s="5">
        <v>-2</v>
      </c>
      <c r="B83" s="6" t="s">
        <v>206</v>
      </c>
      <c r="C83" s="6" t="s">
        <v>71</v>
      </c>
      <c r="D83" s="6" t="s">
        <v>10</v>
      </c>
      <c r="E83" s="5" t="s">
        <v>92</v>
      </c>
      <c r="F83" s="6" t="s">
        <v>99</v>
      </c>
      <c r="G83" s="9">
        <v>45716</v>
      </c>
      <c r="H83" s="9">
        <v>46446</v>
      </c>
      <c r="I83" s="6" t="s">
        <v>2</v>
      </c>
      <c r="L83" s="18">
        <v>1</v>
      </c>
      <c r="M83" s="19">
        <v>11.920727272727275</v>
      </c>
      <c r="N83" s="18">
        <v>11.920727272727275</v>
      </c>
      <c r="T83" s="4" t="str">
        <v>Bodegas</v>
      </c>
      <c r="U83" s="4" t="str">
        <v xml:space="preserve">RED ELECTRICA </v>
      </c>
      <c r="V83" s="10" t="str" cm="1">
        <f t="array" ref="V83">IF(INDEX(_xlfn.ANCHORARRAY($AE$2),ROW()-6)="","",_xlfn.TEXTJOIN(", ",TRUE,IF($AD$2:$AD$757=INDEX(_xlfn.ANCHORARRAY($AE$2),ROW()-6),$E$2:$E$757,"")))</f>
        <v>603, 611</v>
      </c>
      <c r="W83" s="15" cm="1">
        <f t="array" ref="W83">IF(INDEX(_xlfn.ANCHORARRAY($AE$2),ROW()-6)="","",SUMIFS($L$2:$L$757,$AD$2:$AD$757,INDEX(_xlfn.ANCHORARRAY($AE$2),ROW()-6)))</f>
        <v>39.76</v>
      </c>
      <c r="X83" s="16" t="str" cm="1">
        <f t="array" ref="X83">IF(INDEX(_xlfn.ANCHORARRAY($AE$2),ROW()-6)="","",IFERROR(_xlfn.XLOOKUP(INDEX(_xlfn.ANCHORARRAY($AE$2),ROW()-6),$AD$2:$AD$757,$G$2:$G$757),""))</f>
        <v>-</v>
      </c>
      <c r="Y83" s="16" cm="1">
        <f t="array" ref="Y83">IF(INDEX(_xlfn.ANCHORARRAY($AE$2),ROW()-6)="","",IFERROR(_xlfn.XLOOKUP(INDEX(_xlfn.ANCHORARRAY($AE$2),ROW()-6),$AD$2:$AD$757,$H$2:$H$757),""))</f>
        <v>46701</v>
      </c>
      <c r="Z83" s="15" cm="1">
        <f t="array" ref="Z83">IF(INDEX(_xlfn.ANCHORARRAY($AE$2),ROW()-6)="","",SUMIFS($N$2:$N$757,$AD$2:$AD$757,INDEX(_xlfn.ANCHORARRAY($AE$2),ROW()-6)))</f>
        <v>11.927999999999999</v>
      </c>
      <c r="AA83" s="17" t="str" cm="1">
        <f t="array" ref="AA83">IF(OR(INDEX(_xlfn.ANCHORARRAY($AE$2),ROW()-6)="",W83=0,LEFT(INDEX(_xlfn.ANCHORARRAY($AE$2),ROW()-6),1)="3",LEFT(INDEX(_xlfn.ANCHORARRAY($AE$2),ROW()-6),1)="4"),IF(INDEX(_xlfn.ANCHORARRAY($AE$2),ROW()-6)="","","-"),Z83/W83)</f>
        <v>-</v>
      </c>
      <c r="AD83" s="20" t="str">
        <f>IF((B83="")+(B83="Vacante")+(D83=""),"",IFERROR(MATCH(D83,{"Oficinas";"Locales";"Estacionamientos";"Bodegas"},0),5)&amp;"|"&amp;B83&amp;"|"&amp;TEXT(G83,"yyyymmdd")&amp;"|"&amp;TEXT(H83,"yyyymmdd"))</f>
        <v>3|TATTERSAL|20250228|20270228</v>
      </c>
      <c r="AE83" s="4" t="str">
        <v>4|RED ELECTRICA |-|20281130</v>
      </c>
      <c r="AF83" s="4"/>
    </row>
    <row r="84" spans="1:32" x14ac:dyDescent="0.2">
      <c r="A84" s="5">
        <v>-2</v>
      </c>
      <c r="B84" s="6" t="s">
        <v>206</v>
      </c>
      <c r="C84" s="6" t="s">
        <v>71</v>
      </c>
      <c r="D84" s="6" t="s">
        <v>10</v>
      </c>
      <c r="E84" s="5" t="s">
        <v>92</v>
      </c>
      <c r="F84" s="6" t="s">
        <v>100</v>
      </c>
      <c r="G84" s="9">
        <v>45716</v>
      </c>
      <c r="H84" s="9">
        <v>46446</v>
      </c>
      <c r="I84" s="6" t="s">
        <v>2</v>
      </c>
      <c r="L84" s="18">
        <v>1</v>
      </c>
      <c r="M84" s="19">
        <v>11.920727272727275</v>
      </c>
      <c r="N84" s="18">
        <v>11.920727272727275</v>
      </c>
      <c r="T84" s="4" t="str">
        <v>Bodegas</v>
      </c>
      <c r="U84" s="4" t="str">
        <v>SPENCER STUART</v>
      </c>
      <c r="V84" s="10" t="str" cm="1">
        <f t="array" ref="V84">IF(INDEX(_xlfn.ANCHORARRAY($AE$2),ROW()-6)="","",_xlfn.TEXTJOIN(", ",TRUE,IF($AD$2:$AD$757=INDEX(_xlfn.ANCHORARRAY($AE$2),ROW()-6),$E$2:$E$757,"")))</f>
        <v>815, 816</v>
      </c>
      <c r="W84" s="15" cm="1">
        <f t="array" ref="W84">IF(INDEX(_xlfn.ANCHORARRAY($AE$2),ROW()-6)="","",SUMIFS($L$2:$L$757,$AD$2:$AD$757,INDEX(_xlfn.ANCHORARRAY($AE$2),ROW()-6)))</f>
        <v>10.43</v>
      </c>
      <c r="X84" s="16" t="str" cm="1">
        <f t="array" ref="X84">IF(INDEX(_xlfn.ANCHORARRAY($AE$2),ROW()-6)="","",IFERROR(_xlfn.XLOOKUP(INDEX(_xlfn.ANCHORARRAY($AE$2),ROW()-6),$AD$2:$AD$757,$G$2:$G$757),""))</f>
        <v>-</v>
      </c>
      <c r="Y84" s="16" cm="1">
        <f t="array" ref="Y84">IF(INDEX(_xlfn.ANCHORARRAY($AE$2),ROW()-6)="","",IFERROR(_xlfn.XLOOKUP(INDEX(_xlfn.ANCHORARRAY($AE$2),ROW()-6),$AD$2:$AD$757,$H$2:$H$757),""))</f>
        <v>47664</v>
      </c>
      <c r="Z84" s="15" cm="1">
        <f t="array" ref="Z84">IF(INDEX(_xlfn.ANCHORARRAY($AE$2),ROW()-6)="","",SUMIFS($N$2:$N$757,$AD$2:$AD$757,INDEX(_xlfn.ANCHORARRAY($AE$2),ROW()-6)))</f>
        <v>3.1289999999999996</v>
      </c>
      <c r="AA84" s="17" t="str" cm="1">
        <f t="array" ref="AA84">IF(OR(INDEX(_xlfn.ANCHORARRAY($AE$2),ROW()-6)="",W84=0,LEFT(INDEX(_xlfn.ANCHORARRAY($AE$2),ROW()-6),1)="3",LEFT(INDEX(_xlfn.ANCHORARRAY($AE$2),ROW()-6),1)="4"),IF(INDEX(_xlfn.ANCHORARRAY($AE$2),ROW()-6)="","","-"),Z84/W84)</f>
        <v>-</v>
      </c>
      <c r="AD84" s="20" t="str">
        <f>IF((B84="")+(B84="Vacante")+(D84=""),"",IFERROR(MATCH(D84,{"Oficinas";"Locales";"Estacionamientos";"Bodegas"},0),5)&amp;"|"&amp;B84&amp;"|"&amp;TEXT(G84,"yyyymmdd")&amp;"|"&amp;TEXT(H84,"yyyymmdd"))</f>
        <v>3|TATTERSAL|20250228|20270228</v>
      </c>
      <c r="AE84" s="4" t="str">
        <v>4|SPENCER STUART|20270415|20300415</v>
      </c>
      <c r="AF84" s="4"/>
    </row>
    <row r="85" spans="1:32" x14ac:dyDescent="0.2">
      <c r="A85" s="5">
        <v>-2</v>
      </c>
      <c r="B85" s="6" t="s">
        <v>206</v>
      </c>
      <c r="C85" s="6" t="s">
        <v>71</v>
      </c>
      <c r="D85" s="6" t="s">
        <v>10</v>
      </c>
      <c r="E85" s="5" t="s">
        <v>92</v>
      </c>
      <c r="F85" s="6" t="s">
        <v>101</v>
      </c>
      <c r="G85" s="9">
        <v>45716</v>
      </c>
      <c r="H85" s="9">
        <v>46446</v>
      </c>
      <c r="I85" s="6" t="s">
        <v>2</v>
      </c>
      <c r="L85" s="18">
        <v>1</v>
      </c>
      <c r="M85" s="19">
        <v>11.920727272727275</v>
      </c>
      <c r="N85" s="18">
        <v>11.920727272727275</v>
      </c>
      <c r="T85" s="4" t="str">
        <v>Bodegas</v>
      </c>
      <c r="U85" s="4" t="str">
        <v>SUMITOMO</v>
      </c>
      <c r="V85" s="10" t="str" cm="1">
        <f t="array" ref="V85">IF(INDEX(_xlfn.ANCHORARRAY($AE$2),ROW()-6)="","",_xlfn.TEXTJOIN(", ",TRUE,IF($AD$2:$AD$757=INDEX(_xlfn.ANCHORARRAY($AE$2),ROW()-6),$E$2:$E$757,"")))</f>
        <v>612, 621</v>
      </c>
      <c r="W85" s="15" cm="1">
        <f t="array" ref="W85">IF(INDEX(_xlfn.ANCHORARRAY($AE$2),ROW()-6)="","",SUMIFS($L$2:$L$757,$AD$2:$AD$757,INDEX(_xlfn.ANCHORARRAY($AE$2),ROW()-6)))</f>
        <v>49.540000000000006</v>
      </c>
      <c r="X85" s="16" t="str" cm="1">
        <f t="array" ref="X85">IF(INDEX(_xlfn.ANCHORARRAY($AE$2),ROW()-6)="","",IFERROR(_xlfn.XLOOKUP(INDEX(_xlfn.ANCHORARRAY($AE$2),ROW()-6),$AD$2:$AD$757,$G$2:$G$757),""))</f>
        <v>-</v>
      </c>
      <c r="Y85" s="16" cm="1">
        <f t="array" ref="Y85">IF(INDEX(_xlfn.ANCHORARRAY($AE$2),ROW()-6)="","",IFERROR(_xlfn.XLOOKUP(INDEX(_xlfn.ANCHORARRAY($AE$2),ROW()-6),$AD$2:$AD$757,$H$2:$H$757),""))</f>
        <v>46173</v>
      </c>
      <c r="Z85" s="15" cm="1">
        <f t="array" ref="Z85">IF(INDEX(_xlfn.ANCHORARRAY($AE$2),ROW()-6)="","",SUMIFS($N$2:$N$757,$AD$2:$AD$757,INDEX(_xlfn.ANCHORARRAY($AE$2),ROW()-6)))</f>
        <v>14.862</v>
      </c>
      <c r="AA85" s="17" t="str" cm="1">
        <f t="array" ref="AA85">IF(OR(INDEX(_xlfn.ANCHORARRAY($AE$2),ROW()-6)="",W85=0,LEFT(INDEX(_xlfn.ANCHORARRAY($AE$2),ROW()-6),1)="3",LEFT(INDEX(_xlfn.ANCHORARRAY($AE$2),ROW()-6),1)="4"),IF(INDEX(_xlfn.ANCHORARRAY($AE$2),ROW()-6)="","","-"),Z85/W85)</f>
        <v>-</v>
      </c>
      <c r="AD85" s="20" t="str">
        <f>IF((B85="")+(B85="Vacante")+(D85=""),"",IFERROR(MATCH(D85,{"Oficinas";"Locales";"Estacionamientos";"Bodegas"},0),5)&amp;"|"&amp;B85&amp;"|"&amp;TEXT(G85,"yyyymmdd")&amp;"|"&amp;TEXT(H85,"yyyymmdd"))</f>
        <v>3|TATTERSAL|20250228|20270228</v>
      </c>
      <c r="AE85" s="4" t="str">
        <v>4|SUMITOMO|-|20261231</v>
      </c>
      <c r="AF85" s="4"/>
    </row>
    <row r="86" spans="1:32" x14ac:dyDescent="0.2">
      <c r="A86" s="5">
        <v>-2</v>
      </c>
      <c r="B86" s="6" t="s">
        <v>206</v>
      </c>
      <c r="C86" s="6" t="s">
        <v>71</v>
      </c>
      <c r="D86" s="6" t="s">
        <v>10</v>
      </c>
      <c r="E86" s="5" t="s">
        <v>92</v>
      </c>
      <c r="F86" s="6" t="s">
        <v>102</v>
      </c>
      <c r="G86" s="9">
        <v>45716</v>
      </c>
      <c r="H86" s="9">
        <v>46446</v>
      </c>
      <c r="I86" s="6" t="s">
        <v>2</v>
      </c>
      <c r="L86" s="18">
        <v>1</v>
      </c>
      <c r="M86" s="19">
        <v>11.920727272727275</v>
      </c>
      <c r="N86" s="18">
        <v>11.920727272727275</v>
      </c>
      <c r="T86" s="4" t="str">
        <v>Bodegas</v>
      </c>
      <c r="U86" s="4" t="str">
        <v>TECNIMONT</v>
      </c>
      <c r="V86" s="10" t="str" cm="1">
        <f t="array" ref="V86">IF(INDEX(_xlfn.ANCHORARRAY($AE$2),ROW()-6)="","",_xlfn.TEXTJOIN(", ",TRUE,IF($AD$2:$AD$757=INDEX(_xlfn.ANCHORARRAY($AE$2),ROW()-6),$E$2:$E$757,"")))</f>
        <v>811</v>
      </c>
      <c r="W86" s="15" cm="1">
        <f t="array" ref="W86">IF(INDEX(_xlfn.ANCHORARRAY($AE$2),ROW()-6)="","",SUMIFS($L$2:$L$757,$AD$2:$AD$757,INDEX(_xlfn.ANCHORARRAY($AE$2),ROW()-6)))</f>
        <v>30.03</v>
      </c>
      <c r="X86" s="16" cm="1">
        <f t="array" ref="X86">IF(INDEX(_xlfn.ANCHORARRAY($AE$2),ROW()-6)="","",IFERROR(_xlfn.XLOOKUP(INDEX(_xlfn.ANCHORARRAY($AE$2),ROW()-6),$AD$2:$AD$757,$G$2:$G$757),""))</f>
        <v>46457</v>
      </c>
      <c r="Y86" s="16" cm="1">
        <f t="array" ref="Y86">IF(INDEX(_xlfn.ANCHORARRAY($AE$2),ROW()-6)="","",IFERROR(_xlfn.XLOOKUP(INDEX(_xlfn.ANCHORARRAY($AE$2),ROW()-6),$AD$2:$AD$757,$H$2:$H$757),""))</f>
        <v>47187</v>
      </c>
      <c r="Z86" s="15" cm="1">
        <f t="array" ref="Z86">IF(INDEX(_xlfn.ANCHORARRAY($AE$2),ROW()-6)="","",SUMIFS($N$2:$N$757,$AD$2:$AD$757,INDEX(_xlfn.ANCHORARRAY($AE$2),ROW()-6)))</f>
        <v>6.0053993999999999</v>
      </c>
      <c r="AA86" s="17" t="str" cm="1">
        <f t="array" ref="AA86">IF(OR(INDEX(_xlfn.ANCHORARRAY($AE$2),ROW()-6)="",W86=0,LEFT(INDEX(_xlfn.ANCHORARRAY($AE$2),ROW()-6),1)="3",LEFT(INDEX(_xlfn.ANCHORARRAY($AE$2),ROW()-6),1)="4"),IF(INDEX(_xlfn.ANCHORARRAY($AE$2),ROW()-6)="","","-"),Z86/W86)</f>
        <v>-</v>
      </c>
      <c r="AD86" s="20" t="str">
        <f>IF((B86="")+(B86="Vacante")+(D86=""),"",IFERROR(MATCH(D86,{"Oficinas";"Locales";"Estacionamientos";"Bodegas"},0),5)&amp;"|"&amp;B86&amp;"|"&amp;TEXT(G86,"yyyymmdd")&amp;"|"&amp;TEXT(H86,"yyyymmdd"))</f>
        <v>3|TATTERSAL|20250228|20270228</v>
      </c>
      <c r="AE86" s="4" t="str">
        <v>4|TECNIMONT|20270515|20300114</v>
      </c>
      <c r="AF86" s="4"/>
    </row>
    <row r="87" spans="1:32" x14ac:dyDescent="0.2">
      <c r="A87" s="5">
        <v>-2</v>
      </c>
      <c r="B87" s="6" t="s">
        <v>206</v>
      </c>
      <c r="C87" s="6" t="s">
        <v>71</v>
      </c>
      <c r="D87" s="6" t="s">
        <v>10</v>
      </c>
      <c r="E87" s="5" t="s">
        <v>92</v>
      </c>
      <c r="F87" s="6" t="s">
        <v>103</v>
      </c>
      <c r="G87" s="9">
        <v>45716</v>
      </c>
      <c r="H87" s="9">
        <v>46446</v>
      </c>
      <c r="I87" s="6" t="s">
        <v>2</v>
      </c>
      <c r="L87" s="18">
        <v>1</v>
      </c>
      <c r="M87" s="19">
        <v>11.920727272727275</v>
      </c>
      <c r="N87" s="18">
        <v>11.920727272727275</v>
      </c>
      <c r="T87" s="4" t="str">
        <v>Bodegas</v>
      </c>
      <c r="U87" s="4" t="str">
        <v>TENGU</v>
      </c>
      <c r="V87" s="10" t="str" cm="1">
        <f t="array" ref="V87">IF(INDEX(_xlfn.ANCHORARRAY($AE$2),ROW()-6)="","",_xlfn.TEXTJOIN(", ",TRUE,IF($AD$2:$AD$757=INDEX(_xlfn.ANCHORARRAY($AE$2),ROW()-6),$E$2:$E$757,"")))</f>
        <v>613, 614</v>
      </c>
      <c r="W87" s="15" cm="1">
        <f t="array" ref="W87">IF(INDEX(_xlfn.ANCHORARRAY($AE$2),ROW()-6)="","",SUMIFS($L$2:$L$757,$AD$2:$AD$757,INDEX(_xlfn.ANCHORARRAY($AE$2),ROW()-6)))</f>
        <v>18.509999999999998</v>
      </c>
      <c r="X87" s="16" t="str" cm="1">
        <f t="array" ref="X87">IF(INDEX(_xlfn.ANCHORARRAY($AE$2),ROW()-6)="","",IFERROR(_xlfn.XLOOKUP(INDEX(_xlfn.ANCHORARRAY($AE$2),ROW()-6),$AD$2:$AD$757,$G$2:$G$757),""))</f>
        <v>-</v>
      </c>
      <c r="Y87" s="16" cm="1">
        <f t="array" ref="Y87">IF(INDEX(_xlfn.ANCHORARRAY($AE$2),ROW()-6)="","",IFERROR(_xlfn.XLOOKUP(INDEX(_xlfn.ANCHORARRAY($AE$2),ROW()-6),$AD$2:$AD$757,$H$2:$H$757),""))</f>
        <v>47634</v>
      </c>
      <c r="Z87" s="15" cm="1">
        <f t="array" ref="Z87">IF(INDEX(_xlfn.ANCHORARRAY($AE$2),ROW()-6)="","",SUMIFS($N$2:$N$757,$AD$2:$AD$757,INDEX(_xlfn.ANCHORARRAY($AE$2),ROW()-6)))</f>
        <v>6</v>
      </c>
      <c r="AA87" s="17" t="str" cm="1">
        <f t="array" ref="AA87">IF(OR(INDEX(_xlfn.ANCHORARRAY($AE$2),ROW()-6)="",W87=0,LEFT(INDEX(_xlfn.ANCHORARRAY($AE$2),ROW()-6),1)="3",LEFT(INDEX(_xlfn.ANCHORARRAY($AE$2),ROW()-6),1)="4"),IF(INDEX(_xlfn.ANCHORARRAY($AE$2),ROW()-6)="","","-"),Z87/W87)</f>
        <v>-</v>
      </c>
      <c r="AD87" s="20" t="str">
        <f>IF((B87="")+(B87="Vacante")+(D87=""),"",IFERROR(MATCH(D87,{"Oficinas";"Locales";"Estacionamientos";"Bodegas"},0),5)&amp;"|"&amp;B87&amp;"|"&amp;TEXT(G87,"yyyymmdd")&amp;"|"&amp;TEXT(H87,"yyyymmdd"))</f>
        <v>3|TATTERSAL|20250228|20270228</v>
      </c>
      <c r="AE87" s="4" t="str">
        <v>4|TENGU|-|20310930</v>
      </c>
      <c r="AF87" s="4"/>
    </row>
    <row r="88" spans="1:32" x14ac:dyDescent="0.2">
      <c r="A88" s="5">
        <v>-5</v>
      </c>
      <c r="B88" s="6" t="s">
        <v>198</v>
      </c>
      <c r="C88" s="6" t="s">
        <v>61</v>
      </c>
      <c r="D88" s="6" t="s">
        <v>10</v>
      </c>
      <c r="E88" s="5">
        <v>5009</v>
      </c>
      <c r="G88" s="9">
        <v>46522</v>
      </c>
      <c r="H88" s="9">
        <v>47361</v>
      </c>
      <c r="I88" s="6" t="s">
        <v>2</v>
      </c>
      <c r="L88" s="18">
        <v>1</v>
      </c>
      <c r="M88" s="19">
        <v>4</v>
      </c>
      <c r="N88" s="18">
        <v>4</v>
      </c>
      <c r="T88" s="4" t="str">
        <v>Bodegas</v>
      </c>
      <c r="U88" s="4" t="str">
        <v>THE BOSS</v>
      </c>
      <c r="V88" s="10" t="str" cm="1">
        <f t="array" ref="V88">IF(INDEX(_xlfn.ANCHORARRAY($AE$2),ROW()-6)="","",_xlfn.TEXTJOIN(", ",TRUE,IF($AD$2:$AD$757=INDEX(_xlfn.ANCHORARRAY($AE$2),ROW()-6),$E$2:$E$757,"")))</f>
        <v>719</v>
      </c>
      <c r="W88" s="15" cm="1">
        <f t="array" ref="W88">IF(INDEX(_xlfn.ANCHORARRAY($AE$2),ROW()-6)="","",SUMIFS($L$2:$L$757,$AD$2:$AD$757,INDEX(_xlfn.ANCHORARRAY($AE$2),ROW()-6)))</f>
        <v>13.25</v>
      </c>
      <c r="X88" s="16" t="str" cm="1">
        <f t="array" ref="X88">IF(INDEX(_xlfn.ANCHORARRAY($AE$2),ROW()-6)="","",IFERROR(_xlfn.XLOOKUP(INDEX(_xlfn.ANCHORARRAY($AE$2),ROW()-6),$AD$2:$AD$757,$G$2:$G$757),""))</f>
        <v>-</v>
      </c>
      <c r="Y88" s="16" cm="1">
        <f t="array" ref="Y88">IF(INDEX(_xlfn.ANCHORARRAY($AE$2),ROW()-6)="","",IFERROR(_xlfn.XLOOKUP(INDEX(_xlfn.ANCHORARRAY($AE$2),ROW()-6),$AD$2:$AD$757,$H$2:$H$757),""))</f>
        <v>47087</v>
      </c>
      <c r="Z88" s="15" cm="1">
        <f t="array" ref="Z88">IF(INDEX(_xlfn.ANCHORARRAY($AE$2),ROW()-6)="","",SUMIFS($N$2:$N$757,$AD$2:$AD$757,INDEX(_xlfn.ANCHORARRAY($AE$2),ROW()-6)))</f>
        <v>3.9749999999999996</v>
      </c>
      <c r="AA88" s="17" t="str" cm="1">
        <f t="array" ref="AA88">IF(OR(INDEX(_xlfn.ANCHORARRAY($AE$2),ROW()-6)="",W88=0,LEFT(INDEX(_xlfn.ANCHORARRAY($AE$2),ROW()-6),1)="3",LEFT(INDEX(_xlfn.ANCHORARRAY($AE$2),ROW()-6),1)="4"),IF(INDEX(_xlfn.ANCHORARRAY($AE$2),ROW()-6)="","","-"),Z88/W88)</f>
        <v>-</v>
      </c>
      <c r="AD88" s="20" t="str">
        <f>IF((B88="")+(B88="Vacante")+(D88=""),"",IFERROR(MATCH(D88,{"Oficinas";"Locales";"Estacionamientos";"Bodegas"},0),5)&amp;"|"&amp;B88&amp;"|"&amp;TEXT(G88,"yyyymmdd")&amp;"|"&amp;TEXT(H88,"yyyymmdd"))</f>
        <v>3|DEUTSCHE PHARMA|20270515|20290831</v>
      </c>
      <c r="AE88" s="4" t="str">
        <v>4|THE BOSS|-|20300114</v>
      </c>
      <c r="AF88" s="4"/>
    </row>
    <row r="89" spans="1:32" x14ac:dyDescent="0.2">
      <c r="A89" s="5">
        <v>-5</v>
      </c>
      <c r="B89" s="6" t="s">
        <v>198</v>
      </c>
      <c r="C89" s="6" t="s">
        <v>61</v>
      </c>
      <c r="D89" s="6" t="s">
        <v>10</v>
      </c>
      <c r="E89" s="5">
        <v>5010</v>
      </c>
      <c r="G89" s="9">
        <v>46522</v>
      </c>
      <c r="H89" s="9">
        <v>47361</v>
      </c>
      <c r="I89" s="6" t="s">
        <v>2</v>
      </c>
      <c r="L89" s="18">
        <v>1</v>
      </c>
      <c r="M89" s="19">
        <v>4</v>
      </c>
      <c r="N89" s="18">
        <v>4</v>
      </c>
      <c r="T89" s="4" t="str">
        <v>Bodegas</v>
      </c>
      <c r="U89" s="4" t="str">
        <v>UKA CHILE</v>
      </c>
      <c r="V89" s="10" t="str" cm="1">
        <f t="array" ref="V89">IF(INDEX(_xlfn.ANCHORARRAY($AE$2),ROW()-6)="","",_xlfn.TEXTJOIN(", ",TRUE,IF($AD$2:$AD$757=INDEX(_xlfn.ANCHORARRAY($AE$2),ROW()-6),$E$2:$E$757,"")))</f>
        <v>804, 808</v>
      </c>
      <c r="W89" s="15" cm="1">
        <f t="array" ref="W89">IF(INDEX(_xlfn.ANCHORARRAY($AE$2),ROW()-6)="","",SUMIFS($L$2:$L$757,$AD$2:$AD$757,INDEX(_xlfn.ANCHORARRAY($AE$2),ROW()-6)))</f>
        <v>19.79</v>
      </c>
      <c r="X89" s="16" cm="1">
        <f t="array" ref="X89">IF(INDEX(_xlfn.ANCHORARRAY($AE$2),ROW()-6)="","",IFERROR(_xlfn.XLOOKUP(INDEX(_xlfn.ANCHORARRAY($AE$2),ROW()-6),$AD$2:$AD$757,$G$2:$G$757),""))</f>
        <v>46492</v>
      </c>
      <c r="Y89" s="16" cm="1">
        <f t="array" ref="Y89">IF(INDEX(_xlfn.ANCHORARRAY($AE$2),ROW()-6)="","",IFERROR(_xlfn.XLOOKUP(INDEX(_xlfn.ANCHORARRAY($AE$2),ROW()-6),$AD$2:$AD$757,$H$2:$H$757),""))</f>
        <v>47588</v>
      </c>
      <c r="Z89" s="15" cm="1">
        <f t="array" ref="Z89">IF(INDEX(_xlfn.ANCHORARRAY($AE$2),ROW()-6)="","",SUMIFS($N$2:$N$757,$AD$2:$AD$757,INDEX(_xlfn.ANCHORARRAY($AE$2),ROW()-6)))</f>
        <v>5.9370000000000003</v>
      </c>
      <c r="AA89" s="17" t="str" cm="1">
        <f t="array" ref="AA89">IF(OR(INDEX(_xlfn.ANCHORARRAY($AE$2),ROW()-6)="",W89=0,LEFT(INDEX(_xlfn.ANCHORARRAY($AE$2),ROW()-6),1)="3",LEFT(INDEX(_xlfn.ANCHORARRAY($AE$2),ROW()-6),1)="4"),IF(INDEX(_xlfn.ANCHORARRAY($AE$2),ROW()-6)="","","-"),Z89/W89)</f>
        <v>-</v>
      </c>
      <c r="AD89" s="20" t="str">
        <f>IF((B89="")+(B89="Vacante")+(D89=""),"",IFERROR(MATCH(D89,{"Oficinas";"Locales";"Estacionamientos";"Bodegas"},0),5)&amp;"|"&amp;B89&amp;"|"&amp;TEXT(G89,"yyyymmdd")&amp;"|"&amp;TEXT(H89,"yyyymmdd"))</f>
        <v>3|DEUTSCHE PHARMA|20270515|20290831</v>
      </c>
      <c r="AE89" s="4" t="str">
        <v>4|UKA CHILE|-|20260430</v>
      </c>
      <c r="AF89" s="4"/>
    </row>
    <row r="90" spans="1:32" x14ac:dyDescent="0.2">
      <c r="A90" s="5">
        <v>-5</v>
      </c>
      <c r="B90" s="6" t="s">
        <v>198</v>
      </c>
      <c r="C90" s="6" t="s">
        <v>61</v>
      </c>
      <c r="D90" s="6" t="s">
        <v>10</v>
      </c>
      <c r="E90" s="5">
        <v>5011</v>
      </c>
      <c r="G90" s="9">
        <v>46522</v>
      </c>
      <c r="H90" s="9">
        <v>47361</v>
      </c>
      <c r="I90" s="6" t="s">
        <v>2</v>
      </c>
      <c r="L90" s="18">
        <v>1</v>
      </c>
      <c r="M90" s="19">
        <v>4</v>
      </c>
      <c r="N90" s="18">
        <v>4</v>
      </c>
      <c r="T90" s="4" t="str">
        <v>Bodegas</v>
      </c>
      <c r="U90" s="4" t="str">
        <v>URBANA</v>
      </c>
      <c r="V90" s="10" t="str" cm="1">
        <f t="array" ref="V90">IF(INDEX(_xlfn.ANCHORARRAY($AE$2),ROW()-6)="","",_xlfn.TEXTJOIN(", ",TRUE,IF($AD$2:$AD$757=INDEX(_xlfn.ANCHORARRAY($AE$2),ROW()-6),$E$2:$E$757,"")))</f>
        <v>809</v>
      </c>
      <c r="W90" s="15" cm="1">
        <f t="array" ref="W90">IF(INDEX(_xlfn.ANCHORARRAY($AE$2),ROW()-6)="","",SUMIFS($L$2:$L$757,$AD$2:$AD$757,INDEX(_xlfn.ANCHORARRAY($AE$2),ROW()-6)))</f>
        <v>8.93</v>
      </c>
      <c r="X90" s="16" t="str" cm="1">
        <f t="array" ref="X90">IF(INDEX(_xlfn.ANCHORARRAY($AE$2),ROW()-6)="","",IFERROR(_xlfn.XLOOKUP(INDEX(_xlfn.ANCHORARRAY($AE$2),ROW()-6),$AD$2:$AD$757,$G$2:$G$757),""))</f>
        <v>-</v>
      </c>
      <c r="Y90" s="16" cm="1">
        <f t="array" ref="Y90">IF(INDEX(_xlfn.ANCHORARRAY($AE$2),ROW()-6)="","",IFERROR(_xlfn.XLOOKUP(INDEX(_xlfn.ANCHORARRAY($AE$2),ROW()-6),$AD$2:$AD$757,$H$2:$H$757),""))</f>
        <v>46387</v>
      </c>
      <c r="Z90" s="15" cm="1">
        <f t="array" ref="Z90">IF(INDEX(_xlfn.ANCHORARRAY($AE$2),ROW()-6)="","",SUMIFS($N$2:$N$757,$AD$2:$AD$757,INDEX(_xlfn.ANCHORARRAY($AE$2),ROW()-6)))</f>
        <v>2.69686</v>
      </c>
      <c r="AA90" s="17" t="str" cm="1">
        <f t="array" ref="AA90">IF(OR(INDEX(_xlfn.ANCHORARRAY($AE$2),ROW()-6)="",W90=0,LEFT(INDEX(_xlfn.ANCHORARRAY($AE$2),ROW()-6),1)="3",LEFT(INDEX(_xlfn.ANCHORARRAY($AE$2),ROW()-6),1)="4"),IF(INDEX(_xlfn.ANCHORARRAY($AE$2),ROW()-6)="","","-"),Z90/W90)</f>
        <v>-</v>
      </c>
      <c r="AD90" s="20" t="str">
        <f>IF((B90="")+(B90="Vacante")+(D90=""),"",IFERROR(MATCH(D90,{"Oficinas";"Locales";"Estacionamientos";"Bodegas"},0),5)&amp;"|"&amp;B90&amp;"|"&amp;TEXT(G90,"yyyymmdd")&amp;"|"&amp;TEXT(H90,"yyyymmdd"))</f>
        <v>3|DEUTSCHE PHARMA|20270515|20290831</v>
      </c>
      <c r="AE90" s="4" t="str">
        <v>4|URBANA|-|-</v>
      </c>
      <c r="AF90" s="4"/>
    </row>
    <row r="91" spans="1:32" x14ac:dyDescent="0.2">
      <c r="A91" s="5">
        <v>-5</v>
      </c>
      <c r="B91" s="6" t="s">
        <v>198</v>
      </c>
      <c r="C91" s="6" t="s">
        <v>61</v>
      </c>
      <c r="D91" s="6" t="s">
        <v>10</v>
      </c>
      <c r="E91" s="5">
        <v>5012</v>
      </c>
      <c r="G91" s="9">
        <v>46522</v>
      </c>
      <c r="H91" s="9">
        <v>47361</v>
      </c>
      <c r="I91" s="6" t="s">
        <v>2</v>
      </c>
      <c r="L91" s="18">
        <v>1</v>
      </c>
      <c r="M91" s="19">
        <v>4</v>
      </c>
      <c r="N91" s="18">
        <v>4</v>
      </c>
      <c r="T91" s="4"/>
      <c r="U91" s="4"/>
      <c r="V91" s="10"/>
      <c r="W91" s="15"/>
      <c r="X91" s="16"/>
      <c r="Y91" s="16"/>
      <c r="Z91" s="15"/>
      <c r="AA91" s="17"/>
      <c r="AD91" s="20" t="str">
        <f>IF((B91="")+(B91="Vacante")+(D91=""),"",IFERROR(MATCH(D91,{"Oficinas";"Locales";"Estacionamientos";"Bodegas"},0),5)&amp;"|"&amp;B91&amp;"|"&amp;TEXT(G91,"yyyymmdd")&amp;"|"&amp;TEXT(H91,"yyyymmdd"))</f>
        <v>3|DEUTSCHE PHARMA|20270515|20290831</v>
      </c>
      <c r="AE91" s="4"/>
      <c r="AF91" s="4"/>
    </row>
    <row r="92" spans="1:32" x14ac:dyDescent="0.2">
      <c r="A92" s="5">
        <v>-5</v>
      </c>
      <c r="B92" s="6" t="s">
        <v>180</v>
      </c>
      <c r="C92" s="6" t="s">
        <v>43</v>
      </c>
      <c r="D92" s="6" t="s">
        <v>10</v>
      </c>
      <c r="E92" s="5">
        <v>5013</v>
      </c>
      <c r="G92" s="9" t="s">
        <v>9</v>
      </c>
      <c r="H92" s="9">
        <v>46996</v>
      </c>
      <c r="I92" s="6" t="s">
        <v>2</v>
      </c>
      <c r="L92" s="18">
        <v>1</v>
      </c>
      <c r="M92" s="19">
        <v>4.3</v>
      </c>
      <c r="N92" s="18">
        <v>4.3</v>
      </c>
      <c r="T92" s="4"/>
      <c r="U92" s="4"/>
      <c r="V92" s="10"/>
      <c r="W92" s="15"/>
      <c r="X92" s="16"/>
      <c r="Y92" s="16"/>
      <c r="Z92" s="15"/>
      <c r="AA92" s="17"/>
      <c r="AD92" s="20" t="str">
        <f>IF((B92="")+(B92="Vacante")+(D92=""),"",IFERROR(MATCH(D92,{"Oficinas";"Locales";"Estacionamientos";"Bodegas"},0),5)&amp;"|"&amp;B92&amp;"|"&amp;TEXT(G92,"yyyymmdd")&amp;"|"&amp;TEXT(H92,"yyyymmdd"))</f>
        <v>3|KAUFMANN|-|20280831</v>
      </c>
      <c r="AE92" s="4"/>
      <c r="AF92" s="4"/>
    </row>
    <row r="93" spans="1:32" x14ac:dyDescent="0.2">
      <c r="A93" s="5">
        <v>-5</v>
      </c>
      <c r="B93" s="6" t="s">
        <v>180</v>
      </c>
      <c r="C93" s="6" t="s">
        <v>43</v>
      </c>
      <c r="D93" s="6" t="s">
        <v>10</v>
      </c>
      <c r="E93" s="5">
        <v>5014</v>
      </c>
      <c r="G93" s="9" t="s">
        <v>9</v>
      </c>
      <c r="H93" s="9">
        <v>46996</v>
      </c>
      <c r="I93" s="6" t="s">
        <v>2</v>
      </c>
      <c r="L93" s="18">
        <v>1</v>
      </c>
      <c r="M93" s="19">
        <v>4.3</v>
      </c>
      <c r="N93" s="18">
        <v>4.3</v>
      </c>
      <c r="T93" s="4"/>
      <c r="U93" s="4"/>
      <c r="V93" s="10"/>
      <c r="W93" s="15"/>
      <c r="X93" s="16"/>
      <c r="Y93" s="16"/>
      <c r="Z93" s="15"/>
      <c r="AA93" s="17"/>
      <c r="AD93" s="20" t="str">
        <f>IF((B93="")+(B93="Vacante")+(D93=""),"",IFERROR(MATCH(D93,{"Oficinas";"Locales";"Estacionamientos";"Bodegas"},0),5)&amp;"|"&amp;B93&amp;"|"&amp;TEXT(G93,"yyyymmdd")&amp;"|"&amp;TEXT(H93,"yyyymmdd"))</f>
        <v>3|KAUFMANN|-|20280831</v>
      </c>
      <c r="AE93" s="4"/>
      <c r="AF93" s="4"/>
    </row>
    <row r="94" spans="1:32" x14ac:dyDescent="0.2">
      <c r="A94" s="5">
        <v>-5</v>
      </c>
      <c r="B94" s="6" t="s">
        <v>4</v>
      </c>
      <c r="C94" s="6" t="s">
        <v>4</v>
      </c>
      <c r="D94" s="6" t="s">
        <v>10</v>
      </c>
      <c r="E94" s="5">
        <v>5023</v>
      </c>
      <c r="F94" s="6" t="s">
        <v>104</v>
      </c>
      <c r="G94" s="9" t="s">
        <v>9</v>
      </c>
      <c r="H94" s="9" t="s">
        <v>9</v>
      </c>
      <c r="I94" s="6" t="s">
        <v>2</v>
      </c>
      <c r="L94" s="18">
        <v>1</v>
      </c>
      <c r="M94" s="19">
        <v>0</v>
      </c>
      <c r="N94" s="18">
        <v>0</v>
      </c>
      <c r="T94" s="4"/>
      <c r="U94" s="4"/>
      <c r="V94" s="10"/>
      <c r="W94" s="15"/>
      <c r="X94" s="16"/>
      <c r="Y94" s="16"/>
      <c r="Z94" s="15"/>
      <c r="AA94" s="17"/>
      <c r="AD94" s="20" t="str">
        <f>IF((B94="")+(B94="Vacante")+(D94=""),"",IFERROR(MATCH(D94,{"Oficinas";"Locales";"Estacionamientos";"Bodegas"},0),5)&amp;"|"&amp;B94&amp;"|"&amp;TEXT(G94,"yyyymmdd")&amp;"|"&amp;TEXT(H94,"yyyymmdd"))</f>
        <v/>
      </c>
      <c r="AE94" s="4"/>
      <c r="AF94" s="4"/>
    </row>
    <row r="95" spans="1:32" x14ac:dyDescent="0.2">
      <c r="A95" s="5">
        <v>-5</v>
      </c>
      <c r="B95" s="6" t="s">
        <v>4</v>
      </c>
      <c r="C95" s="6" t="s">
        <v>4</v>
      </c>
      <c r="D95" s="6" t="s">
        <v>10</v>
      </c>
      <c r="E95" s="5">
        <v>5024</v>
      </c>
      <c r="F95" s="6" t="s">
        <v>104</v>
      </c>
      <c r="G95" s="9" t="s">
        <v>9</v>
      </c>
      <c r="H95" s="9" t="s">
        <v>9</v>
      </c>
      <c r="I95" s="6" t="s">
        <v>2</v>
      </c>
      <c r="L95" s="18">
        <v>1</v>
      </c>
      <c r="M95" s="19">
        <v>0</v>
      </c>
      <c r="N95" s="18">
        <v>0</v>
      </c>
      <c r="T95" s="4"/>
      <c r="U95" s="4"/>
      <c r="V95" s="10"/>
      <c r="W95" s="15"/>
      <c r="X95" s="16"/>
      <c r="Y95" s="16"/>
      <c r="Z95" s="15"/>
      <c r="AA95" s="17"/>
      <c r="AD95" s="20" t="str">
        <f>IF((B95="")+(B95="Vacante")+(D95=""),"",IFERROR(MATCH(D95,{"Oficinas";"Locales";"Estacionamientos";"Bodegas"},0),5)&amp;"|"&amp;B95&amp;"|"&amp;TEXT(G95,"yyyymmdd")&amp;"|"&amp;TEXT(H95,"yyyymmdd"))</f>
        <v/>
      </c>
      <c r="AE95" s="4"/>
      <c r="AF95" s="4"/>
    </row>
    <row r="96" spans="1:32" x14ac:dyDescent="0.2">
      <c r="A96" s="5">
        <v>-5</v>
      </c>
      <c r="B96" s="6" t="s">
        <v>4</v>
      </c>
      <c r="C96" s="6" t="s">
        <v>4</v>
      </c>
      <c r="D96" s="6" t="s">
        <v>10</v>
      </c>
      <c r="E96" s="5">
        <v>5025</v>
      </c>
      <c r="F96" s="6" t="s">
        <v>104</v>
      </c>
      <c r="G96" s="9" t="s">
        <v>9</v>
      </c>
      <c r="H96" s="9" t="s">
        <v>9</v>
      </c>
      <c r="I96" s="6" t="s">
        <v>2</v>
      </c>
      <c r="L96" s="18">
        <v>1</v>
      </c>
      <c r="M96" s="19">
        <v>0</v>
      </c>
      <c r="N96" s="18">
        <v>0</v>
      </c>
      <c r="T96" s="4"/>
      <c r="U96" s="4"/>
      <c r="V96" s="10"/>
      <c r="W96" s="15"/>
      <c r="X96" s="16"/>
      <c r="Y96" s="16"/>
      <c r="Z96" s="15"/>
      <c r="AA96" s="17"/>
      <c r="AD96" s="20" t="str">
        <f>IF((B96="")+(B96="Vacante")+(D96=""),"",IFERROR(MATCH(D96,{"Oficinas";"Locales";"Estacionamientos";"Bodegas"},0),5)&amp;"|"&amp;B96&amp;"|"&amp;TEXT(G96,"yyyymmdd")&amp;"|"&amp;TEXT(H96,"yyyymmdd"))</f>
        <v/>
      </c>
      <c r="AE96" s="4"/>
      <c r="AF96" s="4"/>
    </row>
    <row r="97" spans="1:32" x14ac:dyDescent="0.2">
      <c r="A97" s="5">
        <v>-5</v>
      </c>
      <c r="B97" s="6" t="s">
        <v>4</v>
      </c>
      <c r="C97" s="6" t="s">
        <v>4</v>
      </c>
      <c r="D97" s="6" t="s">
        <v>10</v>
      </c>
      <c r="E97" s="5">
        <v>5026</v>
      </c>
      <c r="F97" s="6" t="s">
        <v>104</v>
      </c>
      <c r="G97" s="9" t="s">
        <v>9</v>
      </c>
      <c r="H97" s="9" t="s">
        <v>9</v>
      </c>
      <c r="I97" s="6" t="s">
        <v>2</v>
      </c>
      <c r="L97" s="18">
        <v>1</v>
      </c>
      <c r="M97" s="19">
        <v>0</v>
      </c>
      <c r="N97" s="18">
        <v>0</v>
      </c>
      <c r="T97" s="4"/>
      <c r="U97" s="4"/>
      <c r="V97" s="10"/>
      <c r="W97" s="15"/>
      <c r="X97" s="16"/>
      <c r="Y97" s="16"/>
      <c r="Z97" s="15"/>
      <c r="AA97" s="17"/>
      <c r="AD97" s="20" t="str">
        <f>IF((B97="")+(B97="Vacante")+(D97=""),"",IFERROR(MATCH(D97,{"Oficinas";"Locales";"Estacionamientos";"Bodegas"},0),5)&amp;"|"&amp;B97&amp;"|"&amp;TEXT(G97,"yyyymmdd")&amp;"|"&amp;TEXT(H97,"yyyymmdd"))</f>
        <v/>
      </c>
      <c r="AE97" s="4"/>
      <c r="AF97" s="4"/>
    </row>
    <row r="98" spans="1:32" x14ac:dyDescent="0.2">
      <c r="A98" s="5">
        <v>-5</v>
      </c>
      <c r="B98" s="6" t="s">
        <v>4</v>
      </c>
      <c r="C98" s="6" t="s">
        <v>4</v>
      </c>
      <c r="D98" s="6" t="s">
        <v>10</v>
      </c>
      <c r="E98" s="5">
        <v>5027</v>
      </c>
      <c r="F98" s="6" t="s">
        <v>104</v>
      </c>
      <c r="G98" s="9" t="s">
        <v>9</v>
      </c>
      <c r="H98" s="9" t="s">
        <v>9</v>
      </c>
      <c r="I98" s="6" t="s">
        <v>2</v>
      </c>
      <c r="L98" s="18">
        <v>1</v>
      </c>
      <c r="M98" s="19">
        <v>0</v>
      </c>
      <c r="N98" s="18">
        <v>0</v>
      </c>
      <c r="T98" s="4"/>
      <c r="U98" s="4"/>
      <c r="V98" s="10"/>
      <c r="W98" s="15"/>
      <c r="X98" s="16"/>
      <c r="Y98" s="16"/>
      <c r="Z98" s="15"/>
      <c r="AA98" s="17"/>
      <c r="AD98" s="20" t="str">
        <f>IF((B98="")+(B98="Vacante")+(D98=""),"",IFERROR(MATCH(D98,{"Oficinas";"Locales";"Estacionamientos";"Bodegas"},0),5)&amp;"|"&amp;B98&amp;"|"&amp;TEXT(G98,"yyyymmdd")&amp;"|"&amp;TEXT(H98,"yyyymmdd"))</f>
        <v/>
      </c>
      <c r="AE98" s="4"/>
      <c r="AF98" s="4"/>
    </row>
    <row r="99" spans="1:32" x14ac:dyDescent="0.2">
      <c r="A99" s="5">
        <v>-5</v>
      </c>
      <c r="B99" s="6" t="s">
        <v>4</v>
      </c>
      <c r="C99" s="6" t="s">
        <v>4</v>
      </c>
      <c r="D99" s="6" t="s">
        <v>10</v>
      </c>
      <c r="E99" s="5">
        <v>5028</v>
      </c>
      <c r="F99" s="6" t="s">
        <v>104</v>
      </c>
      <c r="G99" s="9" t="s">
        <v>9</v>
      </c>
      <c r="H99" s="9" t="s">
        <v>9</v>
      </c>
      <c r="I99" s="6" t="s">
        <v>2</v>
      </c>
      <c r="L99" s="18">
        <v>1</v>
      </c>
      <c r="M99" s="19">
        <v>0</v>
      </c>
      <c r="N99" s="18">
        <v>0</v>
      </c>
      <c r="T99" s="4"/>
      <c r="U99" s="4"/>
      <c r="V99" s="10"/>
      <c r="W99" s="15"/>
      <c r="X99" s="16"/>
      <c r="Y99" s="16"/>
      <c r="Z99" s="15"/>
      <c r="AA99" s="17"/>
      <c r="AD99" s="20" t="str">
        <f>IF((B99="")+(B99="Vacante")+(D99=""),"",IFERROR(MATCH(D99,{"Oficinas";"Locales";"Estacionamientos";"Bodegas"},0),5)&amp;"|"&amp;B99&amp;"|"&amp;TEXT(G99,"yyyymmdd")&amp;"|"&amp;TEXT(H99,"yyyymmdd"))</f>
        <v/>
      </c>
      <c r="AE99" s="4"/>
      <c r="AF99" s="4"/>
    </row>
    <row r="100" spans="1:32" x14ac:dyDescent="0.2">
      <c r="A100" s="5">
        <v>-5</v>
      </c>
      <c r="B100" s="6" t="s">
        <v>4</v>
      </c>
      <c r="C100" s="6" t="s">
        <v>4</v>
      </c>
      <c r="D100" s="6" t="s">
        <v>10</v>
      </c>
      <c r="E100" s="5">
        <v>5029</v>
      </c>
      <c r="F100" s="6" t="s">
        <v>104</v>
      </c>
      <c r="G100" s="9" t="s">
        <v>9</v>
      </c>
      <c r="H100" s="9" t="s">
        <v>9</v>
      </c>
      <c r="I100" s="6" t="s">
        <v>2</v>
      </c>
      <c r="L100" s="18">
        <v>1</v>
      </c>
      <c r="M100" s="19">
        <v>0</v>
      </c>
      <c r="N100" s="18">
        <v>0</v>
      </c>
      <c r="T100" s="4"/>
      <c r="U100" s="4"/>
      <c r="V100" s="10"/>
      <c r="W100" s="15"/>
      <c r="X100" s="16"/>
      <c r="Y100" s="16"/>
      <c r="Z100" s="15"/>
      <c r="AA100" s="17"/>
      <c r="AD100" s="20" t="str">
        <f>IF((B100="")+(B100="Vacante")+(D100=""),"",IFERROR(MATCH(D100,{"Oficinas";"Locales";"Estacionamientos";"Bodegas"},0),5)&amp;"|"&amp;B100&amp;"|"&amp;TEXT(G100,"yyyymmdd")&amp;"|"&amp;TEXT(H100,"yyyymmdd"))</f>
        <v/>
      </c>
      <c r="AE100" s="4"/>
      <c r="AF100" s="4"/>
    </row>
    <row r="101" spans="1:32" x14ac:dyDescent="0.2">
      <c r="A101" s="5">
        <v>-5</v>
      </c>
      <c r="B101" s="6" t="s">
        <v>186</v>
      </c>
      <c r="C101" s="6" t="s">
        <v>34</v>
      </c>
      <c r="D101" s="6" t="s">
        <v>10</v>
      </c>
      <c r="E101" s="5">
        <v>5030</v>
      </c>
      <c r="G101" s="9" t="s">
        <v>9</v>
      </c>
      <c r="H101" s="9">
        <v>47694</v>
      </c>
      <c r="I101" s="6" t="s">
        <v>2</v>
      </c>
      <c r="L101" s="18">
        <v>1</v>
      </c>
      <c r="M101" s="19">
        <v>4.3</v>
      </c>
      <c r="N101" s="18">
        <v>4.3</v>
      </c>
      <c r="T101" s="4"/>
      <c r="U101" s="4"/>
      <c r="V101" s="10"/>
      <c r="W101" s="15"/>
      <c r="X101" s="16"/>
      <c r="Y101" s="16"/>
      <c r="Z101" s="15"/>
      <c r="AA101" s="17"/>
      <c r="AD101" s="20" t="str">
        <f>IF((B101="")+(B101="Vacante")+(D101=""),"",IFERROR(MATCH(D101,{"Oficinas";"Locales";"Estacionamientos";"Bodegas"},0),5)&amp;"|"&amp;B101&amp;"|"&amp;TEXT(G101,"yyyymmdd")&amp;"|"&amp;TEXT(H101,"yyyymmdd"))</f>
        <v>3|CONTOURGLOBAL|-|20300730</v>
      </c>
      <c r="AE101" s="4"/>
      <c r="AF101" s="4"/>
    </row>
    <row r="102" spans="1:32" x14ac:dyDescent="0.2">
      <c r="A102" s="5">
        <v>-5</v>
      </c>
      <c r="B102" s="6" t="s">
        <v>186</v>
      </c>
      <c r="C102" s="6" t="s">
        <v>34</v>
      </c>
      <c r="D102" s="6" t="s">
        <v>10</v>
      </c>
      <c r="E102" s="5">
        <v>5031</v>
      </c>
      <c r="G102" s="9" t="s">
        <v>9</v>
      </c>
      <c r="H102" s="9">
        <v>47694</v>
      </c>
      <c r="I102" s="6" t="s">
        <v>2</v>
      </c>
      <c r="L102" s="18">
        <v>1</v>
      </c>
      <c r="M102" s="19">
        <v>4.3</v>
      </c>
      <c r="N102" s="18">
        <v>4.3</v>
      </c>
      <c r="T102" s="4"/>
      <c r="U102" s="4"/>
      <c r="V102" s="10"/>
      <c r="W102" s="15"/>
      <c r="X102" s="16"/>
      <c r="Y102" s="16"/>
      <c r="Z102" s="15"/>
      <c r="AA102" s="17"/>
      <c r="AD102" s="20" t="str">
        <f>IF((B102="")+(B102="Vacante")+(D102=""),"",IFERROR(MATCH(D102,{"Oficinas";"Locales";"Estacionamientos";"Bodegas"},0),5)&amp;"|"&amp;B102&amp;"|"&amp;TEXT(G102,"yyyymmdd")&amp;"|"&amp;TEXT(H102,"yyyymmdd"))</f>
        <v>3|CONTOURGLOBAL|-|20300730</v>
      </c>
      <c r="AE102" s="4"/>
      <c r="AF102" s="4"/>
    </row>
    <row r="103" spans="1:32" x14ac:dyDescent="0.2">
      <c r="A103" s="5">
        <v>-5</v>
      </c>
      <c r="B103" s="6" t="s">
        <v>186</v>
      </c>
      <c r="C103" s="6" t="s">
        <v>34</v>
      </c>
      <c r="D103" s="6" t="s">
        <v>10</v>
      </c>
      <c r="E103" s="5">
        <v>5032</v>
      </c>
      <c r="G103" s="9" t="s">
        <v>9</v>
      </c>
      <c r="H103" s="9">
        <v>47694</v>
      </c>
      <c r="I103" s="6" t="s">
        <v>2</v>
      </c>
      <c r="L103" s="18">
        <v>1</v>
      </c>
      <c r="M103" s="19">
        <v>4.3</v>
      </c>
      <c r="N103" s="18">
        <v>4.3</v>
      </c>
      <c r="T103" s="4"/>
      <c r="U103" s="4"/>
      <c r="V103" s="10"/>
      <c r="W103" s="15"/>
      <c r="X103" s="16"/>
      <c r="Y103" s="16"/>
      <c r="Z103" s="15"/>
      <c r="AA103" s="17"/>
      <c r="AD103" s="20" t="str">
        <f>IF((B103="")+(B103="Vacante")+(D103=""),"",IFERROR(MATCH(D103,{"Oficinas";"Locales";"Estacionamientos";"Bodegas"},0),5)&amp;"|"&amp;B103&amp;"|"&amp;TEXT(G103,"yyyymmdd")&amp;"|"&amp;TEXT(H103,"yyyymmdd"))</f>
        <v>3|CONTOURGLOBAL|-|20300730</v>
      </c>
      <c r="AE103" s="4"/>
      <c r="AF103" s="4"/>
    </row>
    <row r="104" spans="1:32" x14ac:dyDescent="0.2">
      <c r="A104" s="5">
        <v>-5</v>
      </c>
      <c r="B104" s="6" t="s">
        <v>186</v>
      </c>
      <c r="C104" s="6" t="s">
        <v>34</v>
      </c>
      <c r="D104" s="6" t="s">
        <v>10</v>
      </c>
      <c r="E104" s="5">
        <v>5033</v>
      </c>
      <c r="G104" s="9" t="s">
        <v>9</v>
      </c>
      <c r="H104" s="9">
        <v>47694</v>
      </c>
      <c r="I104" s="6" t="s">
        <v>2</v>
      </c>
      <c r="L104" s="18">
        <v>1</v>
      </c>
      <c r="M104" s="19">
        <v>4.3</v>
      </c>
      <c r="N104" s="18">
        <v>4.3</v>
      </c>
      <c r="T104" s="4"/>
      <c r="U104" s="4"/>
      <c r="V104" s="10"/>
      <c r="W104" s="15"/>
      <c r="X104" s="16"/>
      <c r="Y104" s="16"/>
      <c r="Z104" s="15"/>
      <c r="AA104" s="17"/>
      <c r="AD104" s="20" t="str">
        <f>IF((B104="")+(B104="Vacante")+(D104=""),"",IFERROR(MATCH(D104,{"Oficinas";"Locales";"Estacionamientos";"Bodegas"},0),5)&amp;"|"&amp;B104&amp;"|"&amp;TEXT(G104,"yyyymmdd")&amp;"|"&amp;TEXT(H104,"yyyymmdd"))</f>
        <v>3|CONTOURGLOBAL|-|20300730</v>
      </c>
      <c r="AE104" s="4"/>
      <c r="AF104" s="4"/>
    </row>
    <row r="105" spans="1:32" x14ac:dyDescent="0.2">
      <c r="A105" s="5">
        <v>-5</v>
      </c>
      <c r="B105" s="6" t="s">
        <v>186</v>
      </c>
      <c r="C105" s="6" t="s">
        <v>34</v>
      </c>
      <c r="D105" s="6" t="s">
        <v>10</v>
      </c>
      <c r="E105" s="5">
        <v>5034</v>
      </c>
      <c r="G105" s="9" t="s">
        <v>9</v>
      </c>
      <c r="H105" s="9">
        <v>47694</v>
      </c>
      <c r="I105" s="6" t="s">
        <v>2</v>
      </c>
      <c r="L105" s="18">
        <v>1</v>
      </c>
      <c r="M105" s="19">
        <v>4.3</v>
      </c>
      <c r="N105" s="18">
        <v>4.3</v>
      </c>
      <c r="T105" s="4"/>
      <c r="U105" s="4"/>
      <c r="V105" s="10"/>
      <c r="W105" s="15"/>
      <c r="X105" s="16"/>
      <c r="Y105" s="16"/>
      <c r="Z105" s="15"/>
      <c r="AA105" s="17"/>
      <c r="AD105" s="20" t="str">
        <f>IF((B105="")+(B105="Vacante")+(D105=""),"",IFERROR(MATCH(D105,{"Oficinas";"Locales";"Estacionamientos";"Bodegas"},0),5)&amp;"|"&amp;B105&amp;"|"&amp;TEXT(G105,"yyyymmdd")&amp;"|"&amp;TEXT(H105,"yyyymmdd"))</f>
        <v>3|CONTOURGLOBAL|-|20300730</v>
      </c>
      <c r="AE105" s="4"/>
      <c r="AF105" s="4"/>
    </row>
    <row r="106" spans="1:32" x14ac:dyDescent="0.2">
      <c r="A106" s="5">
        <v>-5</v>
      </c>
      <c r="B106" s="6" t="s">
        <v>186</v>
      </c>
      <c r="C106" s="6" t="s">
        <v>34</v>
      </c>
      <c r="D106" s="6" t="s">
        <v>10</v>
      </c>
      <c r="E106" s="5">
        <v>5035</v>
      </c>
      <c r="G106" s="9" t="s">
        <v>9</v>
      </c>
      <c r="H106" s="9">
        <v>47694</v>
      </c>
      <c r="I106" s="6" t="s">
        <v>2</v>
      </c>
      <c r="L106" s="18">
        <v>1</v>
      </c>
      <c r="M106" s="19">
        <v>4.3</v>
      </c>
      <c r="N106" s="18">
        <v>4.3</v>
      </c>
      <c r="T106" s="4"/>
      <c r="U106" s="4"/>
      <c r="V106" s="10"/>
      <c r="W106" s="15"/>
      <c r="X106" s="16"/>
      <c r="Y106" s="16"/>
      <c r="Z106" s="15"/>
      <c r="AA106" s="17"/>
      <c r="AD106" s="20" t="str">
        <f>IF((B106="")+(B106="Vacante")+(D106=""),"",IFERROR(MATCH(D106,{"Oficinas";"Locales";"Estacionamientos";"Bodegas"},0),5)&amp;"|"&amp;B106&amp;"|"&amp;TEXT(G106,"yyyymmdd")&amp;"|"&amp;TEXT(H106,"yyyymmdd"))</f>
        <v>3|CONTOURGLOBAL|-|20300730</v>
      </c>
      <c r="AE106" s="4"/>
      <c r="AF106" s="4"/>
    </row>
    <row r="107" spans="1:32" x14ac:dyDescent="0.2">
      <c r="A107" s="5">
        <v>-5</v>
      </c>
      <c r="B107" s="6" t="s">
        <v>190</v>
      </c>
      <c r="C107" s="6" t="s">
        <v>27</v>
      </c>
      <c r="D107" s="6" t="s">
        <v>10</v>
      </c>
      <c r="E107" s="5">
        <v>5036</v>
      </c>
      <c r="G107" s="9" t="s">
        <v>9</v>
      </c>
      <c r="H107" s="9">
        <v>47664</v>
      </c>
      <c r="I107" s="6" t="s">
        <v>2</v>
      </c>
      <c r="L107" s="18">
        <v>1</v>
      </c>
      <c r="M107" s="19">
        <v>4.3</v>
      </c>
      <c r="N107" s="18">
        <v>4.3</v>
      </c>
      <c r="T107" s="4"/>
      <c r="U107" s="4"/>
      <c r="V107" s="10"/>
      <c r="W107" s="15"/>
      <c r="X107" s="16"/>
      <c r="Y107" s="16"/>
      <c r="Z107" s="15"/>
      <c r="AA107" s="17"/>
      <c r="AD107" s="20" t="str">
        <f>IF((B107="")+(B107="Vacante")+(D107=""),"",IFERROR(MATCH(D107,{"Oficinas";"Locales";"Estacionamientos";"Bodegas"},0),5)&amp;"|"&amp;B107&amp;"|"&amp;TEXT(G107,"yyyymmdd")&amp;"|"&amp;TEXT(H107,"yyyymmdd"))</f>
        <v>3|JOHNSON HEALTH TECH|-|20300630</v>
      </c>
      <c r="AE107" s="4"/>
      <c r="AF107" s="4"/>
    </row>
    <row r="108" spans="1:32" x14ac:dyDescent="0.2">
      <c r="A108" s="5">
        <v>-5</v>
      </c>
      <c r="B108" s="6" t="s">
        <v>4</v>
      </c>
      <c r="C108" s="6" t="s">
        <v>4</v>
      </c>
      <c r="D108" s="6" t="s">
        <v>10</v>
      </c>
      <c r="E108" s="5">
        <v>5037</v>
      </c>
      <c r="G108" s="9" t="s">
        <v>9</v>
      </c>
      <c r="H108" s="9" t="s">
        <v>9</v>
      </c>
      <c r="I108" s="6" t="s">
        <v>2</v>
      </c>
      <c r="L108" s="18">
        <v>1</v>
      </c>
      <c r="M108" s="19">
        <v>0</v>
      </c>
      <c r="N108" s="18">
        <v>0</v>
      </c>
      <c r="T108" s="4"/>
      <c r="U108" s="4"/>
      <c r="V108" s="10"/>
      <c r="W108" s="15"/>
      <c r="X108" s="16"/>
      <c r="Y108" s="16"/>
      <c r="Z108" s="15"/>
      <c r="AA108" s="17"/>
      <c r="AD108" s="20" t="str">
        <f>IF((B108="")+(B108="Vacante")+(D108=""),"",IFERROR(MATCH(D108,{"Oficinas";"Locales";"Estacionamientos";"Bodegas"},0),5)&amp;"|"&amp;B108&amp;"|"&amp;TEXT(G108,"yyyymmdd")&amp;"|"&amp;TEXT(H108,"yyyymmdd"))</f>
        <v/>
      </c>
      <c r="AE108" s="4"/>
      <c r="AF108" s="4"/>
    </row>
    <row r="109" spans="1:32" x14ac:dyDescent="0.2">
      <c r="A109" s="5">
        <v>-5</v>
      </c>
      <c r="B109" s="6" t="s">
        <v>4</v>
      </c>
      <c r="C109" s="6" t="s">
        <v>4</v>
      </c>
      <c r="D109" s="6" t="s">
        <v>10</v>
      </c>
      <c r="E109" s="5">
        <v>5038</v>
      </c>
      <c r="G109" s="9" t="s">
        <v>9</v>
      </c>
      <c r="H109" s="9" t="s">
        <v>9</v>
      </c>
      <c r="I109" s="6" t="s">
        <v>2</v>
      </c>
      <c r="L109" s="18">
        <v>1</v>
      </c>
      <c r="M109" s="19">
        <v>0</v>
      </c>
      <c r="N109" s="18">
        <v>0</v>
      </c>
      <c r="T109" s="4"/>
      <c r="U109" s="4"/>
      <c r="V109" s="10"/>
      <c r="W109" s="15"/>
      <c r="X109" s="16"/>
      <c r="Y109" s="16"/>
      <c r="Z109" s="15"/>
      <c r="AA109" s="17"/>
      <c r="AD109" s="20" t="str">
        <f>IF((B109="")+(B109="Vacante")+(D109=""),"",IFERROR(MATCH(D109,{"Oficinas";"Locales";"Estacionamientos";"Bodegas"},0),5)&amp;"|"&amp;B109&amp;"|"&amp;TEXT(G109,"yyyymmdd")&amp;"|"&amp;TEXT(H109,"yyyymmdd"))</f>
        <v/>
      </c>
      <c r="AE109" s="4"/>
      <c r="AF109" s="4"/>
    </row>
    <row r="110" spans="1:32" x14ac:dyDescent="0.2">
      <c r="A110" s="5">
        <v>-5</v>
      </c>
      <c r="B110" s="6" t="s">
        <v>193</v>
      </c>
      <c r="C110" s="6" t="s">
        <v>24</v>
      </c>
      <c r="D110" s="6" t="s">
        <v>10</v>
      </c>
      <c r="E110" s="5">
        <v>5039</v>
      </c>
      <c r="G110" s="9" t="s">
        <v>9</v>
      </c>
      <c r="H110" s="9">
        <v>47528</v>
      </c>
      <c r="I110" s="6" t="s">
        <v>2</v>
      </c>
      <c r="L110" s="18">
        <v>1</v>
      </c>
      <c r="M110" s="19">
        <v>3</v>
      </c>
      <c r="N110" s="18">
        <v>3</v>
      </c>
      <c r="T110" s="4"/>
      <c r="U110" s="4"/>
      <c r="V110" s="10"/>
      <c r="W110" s="15"/>
      <c r="X110" s="16"/>
      <c r="Y110" s="16"/>
      <c r="Z110" s="15"/>
      <c r="AA110" s="17"/>
      <c r="AD110" s="20" t="str">
        <f>IF((B110="")+(B110="Vacante")+(D110=""),"",IFERROR(MATCH(D110,{"Oficinas";"Locales";"Estacionamientos";"Bodegas"},0),5)&amp;"|"&amp;B110&amp;"|"&amp;TEXT(G110,"yyyymmdd")&amp;"|"&amp;TEXT(H110,"yyyymmdd"))</f>
        <v>3|STELLANTIS|-|20300214</v>
      </c>
      <c r="AE110" s="4"/>
      <c r="AF110" s="4"/>
    </row>
    <row r="111" spans="1:32" x14ac:dyDescent="0.2">
      <c r="A111" s="5">
        <v>-5</v>
      </c>
      <c r="B111" s="6" t="s">
        <v>195</v>
      </c>
      <c r="C111" s="6" t="s">
        <v>23</v>
      </c>
      <c r="D111" s="6" t="s">
        <v>10</v>
      </c>
      <c r="E111" s="5">
        <v>5040</v>
      </c>
      <c r="G111" s="9">
        <v>46522</v>
      </c>
      <c r="H111" s="9">
        <v>47497</v>
      </c>
      <c r="I111" s="6" t="s">
        <v>2</v>
      </c>
      <c r="L111" s="18">
        <v>1</v>
      </c>
      <c r="M111" s="19">
        <v>4.3</v>
      </c>
      <c r="N111" s="18">
        <v>4.3</v>
      </c>
      <c r="T111" s="4"/>
      <c r="U111" s="4"/>
      <c r="V111" s="10"/>
      <c r="W111" s="15"/>
      <c r="X111" s="16"/>
      <c r="Y111" s="16"/>
      <c r="Z111" s="15"/>
      <c r="AA111" s="17"/>
      <c r="AD111" s="20" t="str">
        <f>IF((B111="")+(B111="Vacante")+(D111=""),"",IFERROR(MATCH(D111,{"Oficinas";"Locales";"Estacionamientos";"Bodegas"},0),5)&amp;"|"&amp;B111&amp;"|"&amp;TEXT(G111,"yyyymmdd")&amp;"|"&amp;TEXT(H111,"yyyymmdd"))</f>
        <v>3|TECNIMONT|20270515|20300114</v>
      </c>
      <c r="AE111" s="4"/>
      <c r="AF111" s="4"/>
    </row>
    <row r="112" spans="1:32" x14ac:dyDescent="0.2">
      <c r="A112" s="5">
        <v>-5</v>
      </c>
      <c r="B112" s="6" t="s">
        <v>195</v>
      </c>
      <c r="C112" s="6" t="s">
        <v>23</v>
      </c>
      <c r="D112" s="6" t="s">
        <v>10</v>
      </c>
      <c r="E112" s="5">
        <v>5041</v>
      </c>
      <c r="G112" s="9">
        <v>46522</v>
      </c>
      <c r="H112" s="9">
        <v>47497</v>
      </c>
      <c r="I112" s="6" t="s">
        <v>2</v>
      </c>
      <c r="L112" s="18">
        <v>1</v>
      </c>
      <c r="M112" s="19">
        <v>4.3</v>
      </c>
      <c r="N112" s="18">
        <v>4.3</v>
      </c>
      <c r="T112" s="4"/>
      <c r="U112" s="4"/>
      <c r="V112" s="10"/>
      <c r="W112" s="15"/>
      <c r="X112" s="16"/>
      <c r="Y112" s="16"/>
      <c r="Z112" s="15"/>
      <c r="AA112" s="17"/>
      <c r="AD112" s="20" t="str">
        <f>IF((B112="")+(B112="Vacante")+(D112=""),"",IFERROR(MATCH(D112,{"Oficinas";"Locales";"Estacionamientos";"Bodegas"},0),5)&amp;"|"&amp;B112&amp;"|"&amp;TEXT(G112,"yyyymmdd")&amp;"|"&amp;TEXT(H112,"yyyymmdd"))</f>
        <v>3|TECNIMONT|20270515|20300114</v>
      </c>
      <c r="AE112" s="4"/>
      <c r="AF112" s="4"/>
    </row>
    <row r="113" spans="1:32" x14ac:dyDescent="0.2">
      <c r="A113" s="5">
        <v>-5</v>
      </c>
      <c r="B113" s="6" t="s">
        <v>198</v>
      </c>
      <c r="C113" s="6" t="s">
        <v>61</v>
      </c>
      <c r="D113" s="6" t="s">
        <v>10</v>
      </c>
      <c r="E113" s="5">
        <v>5042</v>
      </c>
      <c r="G113" s="9">
        <v>46522</v>
      </c>
      <c r="H113" s="9">
        <v>47361</v>
      </c>
      <c r="I113" s="6" t="s">
        <v>2</v>
      </c>
      <c r="L113" s="18">
        <v>1</v>
      </c>
      <c r="M113" s="19">
        <v>4</v>
      </c>
      <c r="N113" s="18">
        <v>4</v>
      </c>
      <c r="T113" s="4"/>
      <c r="U113" s="4"/>
      <c r="V113" s="10"/>
      <c r="W113" s="15"/>
      <c r="X113" s="16"/>
      <c r="Y113" s="16"/>
      <c r="Z113" s="15"/>
      <c r="AA113" s="17"/>
      <c r="AD113" s="20" t="str">
        <f>IF((B113="")+(B113="Vacante")+(D113=""),"",IFERROR(MATCH(D113,{"Oficinas";"Locales";"Estacionamientos";"Bodegas"},0),5)&amp;"|"&amp;B113&amp;"|"&amp;TEXT(G113,"yyyymmdd")&amp;"|"&amp;TEXT(H113,"yyyymmdd"))</f>
        <v>3|DEUTSCHE PHARMA|20270515|20290831</v>
      </c>
      <c r="AE113" s="4"/>
      <c r="AF113" s="4"/>
    </row>
    <row r="114" spans="1:32" x14ac:dyDescent="0.2">
      <c r="A114" s="5">
        <v>-5</v>
      </c>
      <c r="B114" s="6" t="s">
        <v>178</v>
      </c>
      <c r="C114" s="6" t="s">
        <v>46</v>
      </c>
      <c r="D114" s="6" t="s">
        <v>10</v>
      </c>
      <c r="E114" s="5">
        <v>5043</v>
      </c>
      <c r="G114" s="9" t="s">
        <v>9</v>
      </c>
      <c r="H114" s="9">
        <v>47831</v>
      </c>
      <c r="I114" s="6" t="s">
        <v>2</v>
      </c>
      <c r="L114" s="18">
        <v>1</v>
      </c>
      <c r="M114" s="19">
        <v>4.3</v>
      </c>
      <c r="N114" s="18">
        <v>4.3</v>
      </c>
      <c r="T114" s="4"/>
      <c r="U114" s="4"/>
      <c r="V114" s="10"/>
      <c r="W114" s="15"/>
      <c r="X114" s="16"/>
      <c r="Y114" s="16"/>
      <c r="Z114" s="15"/>
      <c r="AA114" s="17"/>
      <c r="AD114" s="20" t="str">
        <f>IF((B114="")+(B114="Vacante")+(D114=""),"",IFERROR(MATCH(D114,{"Oficinas";"Locales";"Estacionamientos";"Bodegas"},0),5)&amp;"|"&amp;B114&amp;"|"&amp;TEXT(G114,"yyyymmdd")&amp;"|"&amp;TEXT(H114,"yyyymmdd"))</f>
        <v>3|LANDMARK |-|20301214</v>
      </c>
      <c r="AE114" s="4"/>
      <c r="AF114" s="4"/>
    </row>
    <row r="115" spans="1:32" x14ac:dyDescent="0.2">
      <c r="A115" s="5">
        <v>-5</v>
      </c>
      <c r="B115" s="6" t="s">
        <v>178</v>
      </c>
      <c r="C115" s="6" t="s">
        <v>46</v>
      </c>
      <c r="D115" s="6" t="s">
        <v>10</v>
      </c>
      <c r="E115" s="5">
        <v>5044</v>
      </c>
      <c r="G115" s="9" t="s">
        <v>9</v>
      </c>
      <c r="H115" s="9">
        <v>47831</v>
      </c>
      <c r="I115" s="6" t="s">
        <v>2</v>
      </c>
      <c r="L115" s="18">
        <v>1</v>
      </c>
      <c r="M115" s="19">
        <v>4.3</v>
      </c>
      <c r="N115" s="18">
        <v>4.3</v>
      </c>
      <c r="T115" s="4"/>
      <c r="U115" s="4"/>
      <c r="V115" s="10"/>
      <c r="W115" s="15"/>
      <c r="X115" s="16"/>
      <c r="Y115" s="16"/>
      <c r="Z115" s="15"/>
      <c r="AA115" s="17"/>
      <c r="AD115" s="20" t="str">
        <f>IF((B115="")+(B115="Vacante")+(D115=""),"",IFERROR(MATCH(D115,{"Oficinas";"Locales";"Estacionamientos";"Bodegas"},0),5)&amp;"|"&amp;B115&amp;"|"&amp;TEXT(G115,"yyyymmdd")&amp;"|"&amp;TEXT(H115,"yyyymmdd"))</f>
        <v>3|LANDMARK |-|20301214</v>
      </c>
      <c r="AE115" s="4"/>
      <c r="AF115" s="4"/>
    </row>
    <row r="116" spans="1:32" x14ac:dyDescent="0.2">
      <c r="A116" s="5">
        <v>-5</v>
      </c>
      <c r="B116" s="6" t="s">
        <v>179</v>
      </c>
      <c r="C116" s="6" t="s">
        <v>39</v>
      </c>
      <c r="D116" s="6" t="s">
        <v>10</v>
      </c>
      <c r="E116" s="5">
        <v>5045</v>
      </c>
      <c r="G116" s="9" t="s">
        <v>9</v>
      </c>
      <c r="H116" s="9">
        <v>46701</v>
      </c>
      <c r="I116" s="6" t="s">
        <v>2</v>
      </c>
      <c r="L116" s="18">
        <v>1</v>
      </c>
      <c r="M116" s="19">
        <v>4</v>
      </c>
      <c r="N116" s="18">
        <v>4</v>
      </c>
      <c r="T116" s="4"/>
      <c r="U116" s="4"/>
      <c r="V116" s="10"/>
      <c r="W116" s="15"/>
      <c r="X116" s="16"/>
      <c r="Y116" s="16"/>
      <c r="Z116" s="15"/>
      <c r="AA116" s="17"/>
      <c r="AD116" s="20" t="str">
        <f>IF((B116="")+(B116="Vacante")+(D116=""),"",IFERROR(MATCH(D116,{"Oficinas";"Locales";"Estacionamientos";"Bodegas"},0),5)&amp;"|"&amp;B116&amp;"|"&amp;TEXT(G116,"yyyymmdd")&amp;"|"&amp;TEXT(H116,"yyyymmdd"))</f>
        <v>3|GLOBALFLEX|-|20271110</v>
      </c>
      <c r="AE116" s="4"/>
      <c r="AF116" s="4"/>
    </row>
    <row r="117" spans="1:32" x14ac:dyDescent="0.2">
      <c r="A117" s="5">
        <v>-5</v>
      </c>
      <c r="B117" s="6" t="s">
        <v>179</v>
      </c>
      <c r="C117" s="6" t="s">
        <v>39</v>
      </c>
      <c r="D117" s="6" t="s">
        <v>10</v>
      </c>
      <c r="E117" s="5">
        <v>5046</v>
      </c>
      <c r="G117" s="9" t="s">
        <v>9</v>
      </c>
      <c r="H117" s="9">
        <v>46701</v>
      </c>
      <c r="I117" s="6" t="s">
        <v>2</v>
      </c>
      <c r="L117" s="18">
        <v>1</v>
      </c>
      <c r="M117" s="19">
        <v>4</v>
      </c>
      <c r="N117" s="18">
        <v>4</v>
      </c>
      <c r="T117" s="4"/>
      <c r="U117" s="4"/>
      <c r="V117" s="10"/>
      <c r="W117" s="15"/>
      <c r="X117" s="16"/>
      <c r="Y117" s="16"/>
      <c r="Z117" s="15"/>
      <c r="AA117" s="17"/>
      <c r="AD117" s="20" t="str">
        <f>IF((B117="")+(B117="Vacante")+(D117=""),"",IFERROR(MATCH(D117,{"Oficinas";"Locales";"Estacionamientos";"Bodegas"},0),5)&amp;"|"&amp;B117&amp;"|"&amp;TEXT(G117,"yyyymmdd")&amp;"|"&amp;TEXT(H117,"yyyymmdd"))</f>
        <v>3|GLOBALFLEX|-|20271110</v>
      </c>
      <c r="AE117" s="4"/>
      <c r="AF117" s="4"/>
    </row>
    <row r="118" spans="1:32" x14ac:dyDescent="0.2">
      <c r="A118" s="5">
        <v>-5</v>
      </c>
      <c r="B118" s="6" t="s">
        <v>179</v>
      </c>
      <c r="C118" s="6" t="s">
        <v>39</v>
      </c>
      <c r="D118" s="6" t="s">
        <v>10</v>
      </c>
      <c r="E118" s="5">
        <v>5047</v>
      </c>
      <c r="G118" s="9" t="s">
        <v>9</v>
      </c>
      <c r="H118" s="9">
        <v>46701</v>
      </c>
      <c r="I118" s="6" t="s">
        <v>2</v>
      </c>
      <c r="L118" s="18">
        <v>1</v>
      </c>
      <c r="M118" s="19">
        <v>4</v>
      </c>
      <c r="N118" s="18">
        <v>4</v>
      </c>
      <c r="T118" s="4"/>
      <c r="U118" s="4"/>
      <c r="V118" s="10"/>
      <c r="W118" s="15"/>
      <c r="X118" s="16"/>
      <c r="Y118" s="16"/>
      <c r="Z118" s="15"/>
      <c r="AA118" s="17"/>
      <c r="AD118" s="20" t="str">
        <f>IF((B118="")+(B118="Vacante")+(D118=""),"",IFERROR(MATCH(D118,{"Oficinas";"Locales";"Estacionamientos";"Bodegas"},0),5)&amp;"|"&amp;B118&amp;"|"&amp;TEXT(G118,"yyyymmdd")&amp;"|"&amp;TEXT(H118,"yyyymmdd"))</f>
        <v>3|GLOBALFLEX|-|20271110</v>
      </c>
      <c r="AE118" s="4"/>
      <c r="AF118" s="4"/>
    </row>
    <row r="119" spans="1:32" x14ac:dyDescent="0.2">
      <c r="A119" s="5">
        <v>-5</v>
      </c>
      <c r="B119" s="6" t="s">
        <v>179</v>
      </c>
      <c r="C119" s="6" t="s">
        <v>39</v>
      </c>
      <c r="D119" s="6" t="s">
        <v>10</v>
      </c>
      <c r="E119" s="5">
        <v>5048</v>
      </c>
      <c r="G119" s="9" t="s">
        <v>9</v>
      </c>
      <c r="H119" s="9">
        <v>46701</v>
      </c>
      <c r="I119" s="6" t="s">
        <v>2</v>
      </c>
      <c r="L119" s="18">
        <v>1</v>
      </c>
      <c r="M119" s="19">
        <v>4</v>
      </c>
      <c r="N119" s="18">
        <v>4</v>
      </c>
      <c r="T119" s="4"/>
      <c r="U119" s="4"/>
      <c r="V119" s="10"/>
      <c r="W119" s="15"/>
      <c r="X119" s="16"/>
      <c r="Y119" s="16"/>
      <c r="Z119" s="15"/>
      <c r="AA119" s="17"/>
      <c r="AD119" s="20" t="str">
        <f>IF((B119="")+(B119="Vacante")+(D119=""),"",IFERROR(MATCH(D119,{"Oficinas";"Locales";"Estacionamientos";"Bodegas"},0),5)&amp;"|"&amp;B119&amp;"|"&amp;TEXT(G119,"yyyymmdd")&amp;"|"&amp;TEXT(H119,"yyyymmdd"))</f>
        <v>3|GLOBALFLEX|-|20271110</v>
      </c>
      <c r="AE119" s="4"/>
      <c r="AF119" s="4"/>
    </row>
    <row r="120" spans="1:32" x14ac:dyDescent="0.2">
      <c r="A120" s="5">
        <v>-5</v>
      </c>
      <c r="B120" s="6" t="s">
        <v>179</v>
      </c>
      <c r="C120" s="6" t="s">
        <v>39</v>
      </c>
      <c r="D120" s="6" t="s">
        <v>10</v>
      </c>
      <c r="E120" s="5">
        <v>5049</v>
      </c>
      <c r="G120" s="9" t="s">
        <v>9</v>
      </c>
      <c r="H120" s="9">
        <v>46701</v>
      </c>
      <c r="I120" s="6" t="s">
        <v>2</v>
      </c>
      <c r="L120" s="18">
        <v>1</v>
      </c>
      <c r="M120" s="19">
        <v>4</v>
      </c>
      <c r="N120" s="18">
        <v>4</v>
      </c>
      <c r="T120" s="4"/>
      <c r="U120" s="4"/>
      <c r="V120" s="10"/>
      <c r="W120" s="15"/>
      <c r="X120" s="16"/>
      <c r="Y120" s="16"/>
      <c r="Z120" s="15"/>
      <c r="AA120" s="17"/>
      <c r="AD120" s="20" t="str">
        <f>IF((B120="")+(B120="Vacante")+(D120=""),"",IFERROR(MATCH(D120,{"Oficinas";"Locales";"Estacionamientos";"Bodegas"},0),5)&amp;"|"&amp;B120&amp;"|"&amp;TEXT(G120,"yyyymmdd")&amp;"|"&amp;TEXT(H120,"yyyymmdd"))</f>
        <v>3|GLOBALFLEX|-|20271110</v>
      </c>
      <c r="AE120" s="4"/>
      <c r="AF120" s="4"/>
    </row>
    <row r="121" spans="1:32" x14ac:dyDescent="0.2">
      <c r="A121" s="5">
        <v>-5</v>
      </c>
      <c r="B121" s="6" t="s">
        <v>193</v>
      </c>
      <c r="C121" s="6" t="s">
        <v>24</v>
      </c>
      <c r="D121" s="6" t="s">
        <v>10</v>
      </c>
      <c r="E121" s="5">
        <v>5050</v>
      </c>
      <c r="G121" s="9" t="s">
        <v>9</v>
      </c>
      <c r="H121" s="9">
        <v>47528</v>
      </c>
      <c r="I121" s="6" t="s">
        <v>2</v>
      </c>
      <c r="L121" s="18">
        <v>1</v>
      </c>
      <c r="M121" s="19">
        <v>3</v>
      </c>
      <c r="N121" s="18">
        <v>3</v>
      </c>
      <c r="T121" s="4"/>
      <c r="U121" s="4"/>
      <c r="V121" s="10"/>
      <c r="W121" s="15"/>
      <c r="X121" s="16"/>
      <c r="Y121" s="16"/>
      <c r="Z121" s="15"/>
      <c r="AA121" s="17"/>
      <c r="AD121" s="20" t="str">
        <f>IF((B121="")+(B121="Vacante")+(D121=""),"",IFERROR(MATCH(D121,{"Oficinas";"Locales";"Estacionamientos";"Bodegas"},0),5)&amp;"|"&amp;B121&amp;"|"&amp;TEXT(G121,"yyyymmdd")&amp;"|"&amp;TEXT(H121,"yyyymmdd"))</f>
        <v>3|STELLANTIS|-|20300214</v>
      </c>
      <c r="AE121" s="4"/>
      <c r="AF121" s="4"/>
    </row>
    <row r="122" spans="1:32" x14ac:dyDescent="0.2">
      <c r="A122" s="5">
        <v>-5</v>
      </c>
      <c r="B122" s="6" t="s">
        <v>197</v>
      </c>
      <c r="C122" s="6" t="s">
        <v>59</v>
      </c>
      <c r="D122" s="6" t="s">
        <v>10</v>
      </c>
      <c r="E122" s="5">
        <v>5051</v>
      </c>
      <c r="G122" s="9">
        <v>47292</v>
      </c>
      <c r="H122" s="9">
        <v>48021</v>
      </c>
      <c r="I122" s="6" t="s">
        <v>2</v>
      </c>
      <c r="L122" s="18">
        <v>1</v>
      </c>
      <c r="M122" s="19">
        <v>0</v>
      </c>
      <c r="N122" s="18">
        <v>0</v>
      </c>
      <c r="T122" s="4"/>
      <c r="U122" s="4"/>
      <c r="V122" s="10"/>
      <c r="W122" s="15"/>
      <c r="X122" s="16"/>
      <c r="Y122" s="16"/>
      <c r="Z122" s="15"/>
      <c r="AA122" s="17"/>
      <c r="AD122" s="20" t="str">
        <f>IF((B122="")+(B122="Vacante")+(D122=""),"",IFERROR(MATCH(D122,{"Oficinas";"Locales";"Estacionamientos";"Bodegas"},0),5)&amp;"|"&amp;B122&amp;"|"&amp;TEXT(G122,"yyyymmdd")&amp;"|"&amp;TEXT(H122,"yyyymmdd"))</f>
        <v>3|TURKISH AIRLINES|20290623|20310622</v>
      </c>
      <c r="AE122" s="4"/>
      <c r="AF122" s="4"/>
    </row>
    <row r="123" spans="1:32" x14ac:dyDescent="0.2">
      <c r="A123" s="5">
        <v>-5</v>
      </c>
      <c r="B123" s="6" t="s">
        <v>193</v>
      </c>
      <c r="C123" s="6" t="s">
        <v>24</v>
      </c>
      <c r="D123" s="6" t="s">
        <v>10</v>
      </c>
      <c r="E123" s="5">
        <v>5122</v>
      </c>
      <c r="G123" s="9" t="s">
        <v>9</v>
      </c>
      <c r="H123" s="9">
        <v>47528</v>
      </c>
      <c r="I123" s="6" t="s">
        <v>2</v>
      </c>
      <c r="L123" s="18">
        <v>1</v>
      </c>
      <c r="M123" s="19">
        <v>3</v>
      </c>
      <c r="N123" s="18">
        <v>3</v>
      </c>
      <c r="T123" s="4"/>
      <c r="U123" s="4"/>
      <c r="V123" s="10"/>
      <c r="W123" s="15"/>
      <c r="X123" s="16"/>
      <c r="Y123" s="16"/>
      <c r="Z123" s="15"/>
      <c r="AA123" s="17"/>
      <c r="AD123" s="20" t="str">
        <f>IF((B123="")+(B123="Vacante")+(D123=""),"",IFERROR(MATCH(D123,{"Oficinas";"Locales";"Estacionamientos";"Bodegas"},0),5)&amp;"|"&amp;B123&amp;"|"&amp;TEXT(G123,"yyyymmdd")&amp;"|"&amp;TEXT(H123,"yyyymmdd"))</f>
        <v>3|STELLANTIS|-|20300214</v>
      </c>
      <c r="AE123" s="4"/>
      <c r="AF123" s="4"/>
    </row>
    <row r="124" spans="1:32" x14ac:dyDescent="0.2">
      <c r="A124" s="5">
        <v>-5</v>
      </c>
      <c r="B124" s="6" t="s">
        <v>193</v>
      </c>
      <c r="C124" s="6" t="s">
        <v>24</v>
      </c>
      <c r="D124" s="6" t="s">
        <v>10</v>
      </c>
      <c r="E124" s="5">
        <v>5123</v>
      </c>
      <c r="G124" s="9" t="s">
        <v>9</v>
      </c>
      <c r="H124" s="9">
        <v>47528</v>
      </c>
      <c r="I124" s="6" t="s">
        <v>2</v>
      </c>
      <c r="L124" s="18">
        <v>1</v>
      </c>
      <c r="M124" s="19">
        <v>3</v>
      </c>
      <c r="N124" s="18">
        <v>3</v>
      </c>
      <c r="T124" s="4"/>
      <c r="U124" s="4"/>
      <c r="V124" s="10"/>
      <c r="W124" s="15"/>
      <c r="X124" s="16"/>
      <c r="Y124" s="16"/>
      <c r="Z124" s="15"/>
      <c r="AA124" s="17"/>
      <c r="AD124" s="20" t="str">
        <f>IF((B124="")+(B124="Vacante")+(D124=""),"",IFERROR(MATCH(D124,{"Oficinas";"Locales";"Estacionamientos";"Bodegas"},0),5)&amp;"|"&amp;B124&amp;"|"&amp;TEXT(G124,"yyyymmdd")&amp;"|"&amp;TEXT(H124,"yyyymmdd"))</f>
        <v>3|STELLANTIS|-|20300214</v>
      </c>
      <c r="AE124" s="4"/>
      <c r="AF124" s="4"/>
    </row>
    <row r="125" spans="1:32" x14ac:dyDescent="0.2">
      <c r="A125" s="5">
        <v>-5</v>
      </c>
      <c r="B125" s="6" t="s">
        <v>193</v>
      </c>
      <c r="C125" s="6" t="s">
        <v>24</v>
      </c>
      <c r="D125" s="6" t="s">
        <v>10</v>
      </c>
      <c r="E125" s="5">
        <v>5124</v>
      </c>
      <c r="G125" s="9" t="s">
        <v>9</v>
      </c>
      <c r="H125" s="9">
        <v>47528</v>
      </c>
      <c r="I125" s="6" t="s">
        <v>2</v>
      </c>
      <c r="L125" s="18">
        <v>1</v>
      </c>
      <c r="M125" s="19">
        <v>3</v>
      </c>
      <c r="N125" s="18">
        <v>3</v>
      </c>
      <c r="T125" s="4"/>
      <c r="U125" s="4"/>
      <c r="V125" s="10"/>
      <c r="W125" s="15"/>
      <c r="X125" s="16"/>
      <c r="Y125" s="16"/>
      <c r="Z125" s="15"/>
      <c r="AA125" s="17"/>
      <c r="AD125" s="20" t="str">
        <f>IF((B125="")+(B125="Vacante")+(D125=""),"",IFERROR(MATCH(D125,{"Oficinas";"Locales";"Estacionamientos";"Bodegas"},0),5)&amp;"|"&amp;B125&amp;"|"&amp;TEXT(G125,"yyyymmdd")&amp;"|"&amp;TEXT(H125,"yyyymmdd"))</f>
        <v>3|STELLANTIS|-|20300214</v>
      </c>
      <c r="AE125" s="4"/>
      <c r="AF125" s="4"/>
    </row>
    <row r="126" spans="1:32" x14ac:dyDescent="0.2">
      <c r="A126" s="5">
        <v>-5</v>
      </c>
      <c r="B126" s="6" t="s">
        <v>193</v>
      </c>
      <c r="C126" s="6" t="s">
        <v>24</v>
      </c>
      <c r="D126" s="6" t="s">
        <v>10</v>
      </c>
      <c r="E126" s="5">
        <v>5125</v>
      </c>
      <c r="G126" s="9" t="s">
        <v>9</v>
      </c>
      <c r="H126" s="9">
        <v>47528</v>
      </c>
      <c r="I126" s="6" t="s">
        <v>2</v>
      </c>
      <c r="L126" s="18">
        <v>1</v>
      </c>
      <c r="M126" s="19">
        <v>3</v>
      </c>
      <c r="N126" s="18">
        <v>3</v>
      </c>
      <c r="T126" s="4"/>
      <c r="U126" s="4"/>
      <c r="V126" s="10"/>
      <c r="W126" s="15"/>
      <c r="X126" s="16"/>
      <c r="Y126" s="16"/>
      <c r="Z126" s="15"/>
      <c r="AA126" s="17"/>
      <c r="AD126" s="20" t="str">
        <f>IF((B126="")+(B126="Vacante")+(D126=""),"",IFERROR(MATCH(D126,{"Oficinas";"Locales";"Estacionamientos";"Bodegas"},0),5)&amp;"|"&amp;B126&amp;"|"&amp;TEXT(G126,"yyyymmdd")&amp;"|"&amp;TEXT(H126,"yyyymmdd"))</f>
        <v>3|STELLANTIS|-|20300214</v>
      </c>
      <c r="AE126" s="4"/>
      <c r="AF126" s="4"/>
    </row>
    <row r="127" spans="1:32" x14ac:dyDescent="0.2">
      <c r="A127" s="5">
        <v>-5</v>
      </c>
      <c r="B127" s="6" t="s">
        <v>4</v>
      </c>
      <c r="C127" s="6" t="s">
        <v>4</v>
      </c>
      <c r="D127" s="6" t="s">
        <v>10</v>
      </c>
      <c r="E127" s="5">
        <v>5126</v>
      </c>
      <c r="F127" s="6" t="s">
        <v>104</v>
      </c>
      <c r="G127" s="9" t="s">
        <v>9</v>
      </c>
      <c r="H127" s="9" t="s">
        <v>9</v>
      </c>
      <c r="I127" s="6" t="s">
        <v>2</v>
      </c>
      <c r="L127" s="18">
        <v>1</v>
      </c>
      <c r="M127" s="19">
        <v>0</v>
      </c>
      <c r="N127" s="18">
        <v>0</v>
      </c>
      <c r="T127" s="4"/>
      <c r="U127" s="4"/>
      <c r="V127" s="10"/>
      <c r="W127" s="15"/>
      <c r="X127" s="16"/>
      <c r="Y127" s="16"/>
      <c r="Z127" s="15"/>
      <c r="AA127" s="17"/>
      <c r="AD127" s="20" t="str">
        <f>IF((B127="")+(B127="Vacante")+(D127=""),"",IFERROR(MATCH(D127,{"Oficinas";"Locales";"Estacionamientos";"Bodegas"},0),5)&amp;"|"&amp;B127&amp;"|"&amp;TEXT(G127,"yyyymmdd")&amp;"|"&amp;TEXT(H127,"yyyymmdd"))</f>
        <v/>
      </c>
      <c r="AE127" s="4"/>
      <c r="AF127" s="4"/>
    </row>
    <row r="128" spans="1:32" x14ac:dyDescent="0.2">
      <c r="A128" s="5">
        <v>-5</v>
      </c>
      <c r="B128" s="6" t="s">
        <v>176</v>
      </c>
      <c r="C128" s="6" t="s">
        <v>47</v>
      </c>
      <c r="D128" s="6" t="s">
        <v>10</v>
      </c>
      <c r="E128" s="5">
        <v>5127</v>
      </c>
      <c r="G128" s="9" t="s">
        <v>9</v>
      </c>
      <c r="H128" s="9">
        <v>46538</v>
      </c>
      <c r="I128" s="6" t="s">
        <v>2</v>
      </c>
      <c r="L128" s="18">
        <v>1</v>
      </c>
      <c r="M128" s="19">
        <v>5</v>
      </c>
      <c r="N128" s="18">
        <v>5</v>
      </c>
      <c r="T128" s="4"/>
      <c r="U128" s="4"/>
      <c r="V128" s="10"/>
      <c r="W128" s="15"/>
      <c r="X128" s="16"/>
      <c r="Y128" s="16"/>
      <c r="Z128" s="15"/>
      <c r="AA128" s="17"/>
      <c r="AD128" s="20" t="str">
        <f>IF((B128="")+(B128="Vacante")+(D128=""),"",IFERROR(MATCH(D128,{"Oficinas";"Locales";"Estacionamientos";"Bodegas"},0),5)&amp;"|"&amp;B128&amp;"|"&amp;TEXT(G128,"yyyymmdd")&amp;"|"&amp;TEXT(H128,"yyyymmdd"))</f>
        <v>3|NUEVA ZELANDIA|-|20270531</v>
      </c>
      <c r="AE128" s="4"/>
      <c r="AF128" s="4"/>
    </row>
    <row r="129" spans="1:32" x14ac:dyDescent="0.2">
      <c r="A129" s="5">
        <v>-5</v>
      </c>
      <c r="B129" s="6" t="s">
        <v>190</v>
      </c>
      <c r="C129" s="6" t="s">
        <v>27</v>
      </c>
      <c r="D129" s="6" t="s">
        <v>10</v>
      </c>
      <c r="E129" s="5">
        <v>5128</v>
      </c>
      <c r="G129" s="9" t="s">
        <v>9</v>
      </c>
      <c r="H129" s="9">
        <v>47664</v>
      </c>
      <c r="I129" s="6" t="s">
        <v>2</v>
      </c>
      <c r="L129" s="18">
        <v>1</v>
      </c>
      <c r="M129" s="19">
        <v>4.3</v>
      </c>
      <c r="N129" s="18">
        <v>4.3</v>
      </c>
      <c r="T129" s="4"/>
      <c r="U129" s="4"/>
      <c r="V129" s="10"/>
      <c r="W129" s="15"/>
      <c r="X129" s="16"/>
      <c r="Y129" s="16"/>
      <c r="Z129" s="15"/>
      <c r="AA129" s="17"/>
      <c r="AD129" s="20" t="str">
        <f>IF((B129="")+(B129="Vacante")+(D129=""),"",IFERROR(MATCH(D129,{"Oficinas";"Locales";"Estacionamientos";"Bodegas"},0),5)&amp;"|"&amp;B129&amp;"|"&amp;TEXT(G129,"yyyymmdd")&amp;"|"&amp;TEXT(H129,"yyyymmdd"))</f>
        <v>3|JOHNSON HEALTH TECH|-|20300630</v>
      </c>
      <c r="AE129" s="4"/>
      <c r="AF129" s="4"/>
    </row>
    <row r="130" spans="1:32" x14ac:dyDescent="0.2">
      <c r="A130" s="5">
        <v>-5</v>
      </c>
      <c r="B130" s="6" t="s">
        <v>190</v>
      </c>
      <c r="C130" s="6" t="s">
        <v>27</v>
      </c>
      <c r="D130" s="6" t="s">
        <v>10</v>
      </c>
      <c r="E130" s="5">
        <v>5129</v>
      </c>
      <c r="G130" s="9" t="s">
        <v>9</v>
      </c>
      <c r="H130" s="9">
        <v>47664</v>
      </c>
      <c r="I130" s="6" t="s">
        <v>2</v>
      </c>
      <c r="L130" s="18">
        <v>1</v>
      </c>
      <c r="M130" s="19">
        <v>4.3</v>
      </c>
      <c r="N130" s="18">
        <v>4.3</v>
      </c>
      <c r="T130" s="4"/>
      <c r="U130" s="4"/>
      <c r="V130" s="10"/>
      <c r="W130" s="15"/>
      <c r="X130" s="16"/>
      <c r="Y130" s="16"/>
      <c r="Z130" s="15"/>
      <c r="AA130" s="17"/>
      <c r="AD130" s="20" t="str">
        <f>IF((B130="")+(B130="Vacante")+(D130=""),"",IFERROR(MATCH(D130,{"Oficinas";"Locales";"Estacionamientos";"Bodegas"},0),5)&amp;"|"&amp;B130&amp;"|"&amp;TEXT(G130,"yyyymmdd")&amp;"|"&amp;TEXT(H130,"yyyymmdd"))</f>
        <v>3|JOHNSON HEALTH TECH|-|20300630</v>
      </c>
      <c r="AE130" s="4"/>
      <c r="AF130" s="4"/>
    </row>
    <row r="131" spans="1:32" x14ac:dyDescent="0.2">
      <c r="A131" s="5">
        <v>-5</v>
      </c>
      <c r="B131" s="6" t="s">
        <v>190</v>
      </c>
      <c r="C131" s="6" t="s">
        <v>27</v>
      </c>
      <c r="D131" s="6" t="s">
        <v>10</v>
      </c>
      <c r="E131" s="5">
        <v>5130</v>
      </c>
      <c r="G131" s="9" t="s">
        <v>9</v>
      </c>
      <c r="H131" s="9">
        <v>47664</v>
      </c>
      <c r="I131" s="6" t="s">
        <v>2</v>
      </c>
      <c r="L131" s="18">
        <v>1</v>
      </c>
      <c r="M131" s="19">
        <v>4.3</v>
      </c>
      <c r="N131" s="18">
        <v>4.3</v>
      </c>
      <c r="T131" s="4"/>
      <c r="U131" s="4"/>
      <c r="V131" s="10"/>
      <c r="W131" s="15"/>
      <c r="X131" s="16"/>
      <c r="Y131" s="16"/>
      <c r="Z131" s="15"/>
      <c r="AA131" s="17"/>
      <c r="AD131" s="20" t="str">
        <f>IF((B131="")+(B131="Vacante")+(D131=""),"",IFERROR(MATCH(D131,{"Oficinas";"Locales";"Estacionamientos";"Bodegas"},0),5)&amp;"|"&amp;B131&amp;"|"&amp;TEXT(G131,"yyyymmdd")&amp;"|"&amp;TEXT(H131,"yyyymmdd"))</f>
        <v>3|JOHNSON HEALTH TECH|-|20300630</v>
      </c>
      <c r="AE131" s="4"/>
      <c r="AF131" s="4"/>
    </row>
    <row r="132" spans="1:32" x14ac:dyDescent="0.2">
      <c r="A132" s="5">
        <v>-6</v>
      </c>
      <c r="B132" s="6" t="s">
        <v>4</v>
      </c>
      <c r="C132" s="6" t="s">
        <v>4</v>
      </c>
      <c r="D132" s="6" t="s">
        <v>8</v>
      </c>
      <c r="E132" s="5">
        <v>602</v>
      </c>
      <c r="G132" s="9" t="s">
        <v>9</v>
      </c>
      <c r="H132" s="9" t="s">
        <v>9</v>
      </c>
      <c r="I132" s="6" t="s">
        <v>2</v>
      </c>
      <c r="L132" s="18">
        <v>12.3</v>
      </c>
      <c r="M132" s="19">
        <v>0</v>
      </c>
      <c r="N132" s="18">
        <v>0</v>
      </c>
      <c r="T132" s="4"/>
      <c r="U132" s="4"/>
      <c r="V132" s="10"/>
      <c r="W132" s="15"/>
      <c r="X132" s="16"/>
      <c r="Y132" s="16"/>
      <c r="Z132" s="15"/>
      <c r="AA132" s="17"/>
      <c r="AD132" s="20" t="str">
        <f>IF((B132="")+(B132="Vacante")+(D132=""),"",IFERROR(MATCH(D132,{"Oficinas";"Locales";"Estacionamientos";"Bodegas"},0),5)&amp;"|"&amp;B132&amp;"|"&amp;TEXT(G132,"yyyymmdd")&amp;"|"&amp;TEXT(H132,"yyyymmdd"))</f>
        <v/>
      </c>
      <c r="AE132" s="4"/>
      <c r="AF132" s="4"/>
    </row>
    <row r="133" spans="1:32" x14ac:dyDescent="0.2">
      <c r="A133" s="5">
        <v>-6</v>
      </c>
      <c r="B133" s="6" t="s">
        <v>179</v>
      </c>
      <c r="C133" s="6" t="s">
        <v>39</v>
      </c>
      <c r="D133" s="6" t="s">
        <v>8</v>
      </c>
      <c r="E133" s="5">
        <v>603</v>
      </c>
      <c r="G133" s="9" t="s">
        <v>9</v>
      </c>
      <c r="H133" s="9">
        <v>46701</v>
      </c>
      <c r="I133" s="6" t="s">
        <v>2</v>
      </c>
      <c r="L133" s="18">
        <v>14.35</v>
      </c>
      <c r="M133" s="19">
        <v>0.3</v>
      </c>
      <c r="N133" s="18">
        <v>4.3049999999999997</v>
      </c>
      <c r="T133" s="4"/>
      <c r="U133" s="4"/>
      <c r="V133" s="10"/>
      <c r="W133" s="15"/>
      <c r="X133" s="16"/>
      <c r="Y133" s="16"/>
      <c r="Z133" s="15"/>
      <c r="AA133" s="17"/>
      <c r="AD133" s="20" t="str">
        <f>IF((B133="")+(B133="Vacante")+(D133=""),"",IFERROR(MATCH(D133,{"Oficinas";"Locales";"Estacionamientos";"Bodegas"},0),5)&amp;"|"&amp;B133&amp;"|"&amp;TEXT(G133,"yyyymmdd")&amp;"|"&amp;TEXT(H133,"yyyymmdd"))</f>
        <v>4|GLOBALFLEX|-|20271110</v>
      </c>
      <c r="AE133" s="4"/>
      <c r="AF133" s="4"/>
    </row>
    <row r="134" spans="1:32" x14ac:dyDescent="0.2">
      <c r="A134" s="5">
        <v>-6</v>
      </c>
      <c r="B134" s="6" t="s">
        <v>179</v>
      </c>
      <c r="C134" s="6" t="s">
        <v>39</v>
      </c>
      <c r="D134" s="6" t="s">
        <v>8</v>
      </c>
      <c r="E134" s="5">
        <v>611</v>
      </c>
      <c r="G134" s="9" t="s">
        <v>9</v>
      </c>
      <c r="H134" s="9">
        <v>46701</v>
      </c>
      <c r="I134" s="6" t="s">
        <v>2</v>
      </c>
      <c r="L134" s="18">
        <v>25.41</v>
      </c>
      <c r="M134" s="19">
        <v>0.3</v>
      </c>
      <c r="N134" s="18">
        <v>7.6229999999999993</v>
      </c>
      <c r="T134" s="4"/>
      <c r="U134" s="4"/>
      <c r="V134" s="10"/>
      <c r="W134" s="15"/>
      <c r="X134" s="16"/>
      <c r="Y134" s="16"/>
      <c r="Z134" s="15"/>
      <c r="AA134" s="17"/>
      <c r="AD134" s="20" t="str">
        <f>IF((B134="")+(B134="Vacante")+(D134=""),"",IFERROR(MATCH(D134,{"Oficinas";"Locales";"Estacionamientos";"Bodegas"},0),5)&amp;"|"&amp;B134&amp;"|"&amp;TEXT(G134,"yyyymmdd")&amp;"|"&amp;TEXT(H134,"yyyymmdd"))</f>
        <v>4|GLOBALFLEX|-|20271110</v>
      </c>
      <c r="AE134" s="4"/>
      <c r="AF134" s="4"/>
    </row>
    <row r="135" spans="1:32" x14ac:dyDescent="0.2">
      <c r="A135" s="5">
        <v>-6</v>
      </c>
      <c r="B135" s="6" t="s">
        <v>201</v>
      </c>
      <c r="C135" s="6" t="s">
        <v>78</v>
      </c>
      <c r="D135" s="6" t="s">
        <v>8</v>
      </c>
      <c r="E135" s="5">
        <v>612</v>
      </c>
      <c r="F135" s="6" t="s">
        <v>105</v>
      </c>
      <c r="G135" s="9" t="s">
        <v>9</v>
      </c>
      <c r="H135" s="9">
        <v>46173</v>
      </c>
      <c r="I135" s="6" t="s">
        <v>2</v>
      </c>
      <c r="L135" s="18">
        <v>8.48</v>
      </c>
      <c r="M135" s="19">
        <v>0.3</v>
      </c>
      <c r="N135" s="18">
        <v>2.544</v>
      </c>
      <c r="T135" s="4"/>
      <c r="U135" s="4"/>
      <c r="V135" s="10"/>
      <c r="W135" s="15"/>
      <c r="X135" s="16"/>
      <c r="Y135" s="16"/>
      <c r="Z135" s="15"/>
      <c r="AA135" s="17"/>
      <c r="AD135" s="20" t="str">
        <f>IF((B135="")+(B135="Vacante")+(D135=""),"",IFERROR(MATCH(D135,{"Oficinas";"Locales";"Estacionamientos";"Bodegas"},0),5)&amp;"|"&amp;B135&amp;"|"&amp;TEXT(G135,"yyyymmdd")&amp;"|"&amp;TEXT(H135,"yyyymmdd"))</f>
        <v>4|MERCADO ISIDORA |-|20260531</v>
      </c>
      <c r="AE135" s="4"/>
      <c r="AF135" s="4"/>
    </row>
    <row r="136" spans="1:32" x14ac:dyDescent="0.2">
      <c r="A136" s="5">
        <v>-6</v>
      </c>
      <c r="B136" s="6" t="s">
        <v>199</v>
      </c>
      <c r="C136" s="6" t="s">
        <v>88</v>
      </c>
      <c r="D136" s="6" t="s">
        <v>8</v>
      </c>
      <c r="E136" s="5">
        <v>613</v>
      </c>
      <c r="F136" s="6" t="s">
        <v>106</v>
      </c>
      <c r="G136" s="9" t="s">
        <v>9</v>
      </c>
      <c r="H136" s="9">
        <v>47634</v>
      </c>
      <c r="I136" s="6" t="s">
        <v>2</v>
      </c>
      <c r="L136" s="18">
        <v>9.65</v>
      </c>
      <c r="M136" s="19">
        <v>0.31088082901554404</v>
      </c>
      <c r="N136" s="18">
        <v>3</v>
      </c>
      <c r="T136" s="4"/>
      <c r="U136" s="4"/>
      <c r="V136" s="10"/>
      <c r="W136" s="15"/>
      <c r="X136" s="16"/>
      <c r="Y136" s="16"/>
      <c r="Z136" s="15"/>
      <c r="AA136" s="17"/>
      <c r="AD136" s="20" t="str">
        <f>IF((B136="")+(B136="Vacante")+(D136=""),"",IFERROR(MATCH(D136,{"Oficinas";"Locales";"Estacionamientos";"Bodegas"},0),5)&amp;"|"&amp;B136&amp;"|"&amp;TEXT(G136,"yyyymmdd")&amp;"|"&amp;TEXT(H136,"yyyymmdd"))</f>
        <v>4|PROGARANTIA |-|20300531</v>
      </c>
      <c r="AE136" s="4"/>
      <c r="AF136" s="4"/>
    </row>
    <row r="137" spans="1:32" x14ac:dyDescent="0.2">
      <c r="A137" s="5">
        <v>-6</v>
      </c>
      <c r="B137" s="6" t="s">
        <v>199</v>
      </c>
      <c r="C137" s="6" t="s">
        <v>88</v>
      </c>
      <c r="D137" s="6" t="s">
        <v>8</v>
      </c>
      <c r="E137" s="5">
        <v>614</v>
      </c>
      <c r="F137" s="6" t="s">
        <v>107</v>
      </c>
      <c r="G137" s="9" t="s">
        <v>9</v>
      </c>
      <c r="H137" s="9">
        <v>47634</v>
      </c>
      <c r="I137" s="6" t="s">
        <v>2</v>
      </c>
      <c r="L137" s="18">
        <v>8.86</v>
      </c>
      <c r="M137" s="19">
        <v>0.33860045146726864</v>
      </c>
      <c r="N137" s="18">
        <v>3</v>
      </c>
      <c r="T137" s="4"/>
      <c r="U137" s="4"/>
      <c r="V137" s="10"/>
      <c r="W137" s="15"/>
      <c r="X137" s="16"/>
      <c r="Y137" s="16"/>
      <c r="Z137" s="15"/>
      <c r="AA137" s="17"/>
      <c r="AD137" s="20" t="str">
        <f>IF((B137="")+(B137="Vacante")+(D137=""),"",IFERROR(MATCH(D137,{"Oficinas";"Locales";"Estacionamientos";"Bodegas"},0),5)&amp;"|"&amp;B137&amp;"|"&amp;TEXT(G137,"yyyymmdd")&amp;"|"&amp;TEXT(H137,"yyyymmdd"))</f>
        <v>4|PROGARANTIA |-|20300531</v>
      </c>
      <c r="AE137" s="4"/>
      <c r="AF137" s="4"/>
    </row>
    <row r="138" spans="1:32" x14ac:dyDescent="0.2">
      <c r="A138" s="5">
        <v>-6</v>
      </c>
      <c r="B138" s="6" t="s">
        <v>4</v>
      </c>
      <c r="C138" s="6" t="s">
        <v>4</v>
      </c>
      <c r="D138" s="6" t="s">
        <v>8</v>
      </c>
      <c r="E138" s="5">
        <v>615</v>
      </c>
      <c r="F138" s="6" t="s">
        <v>108</v>
      </c>
      <c r="G138" s="9" t="s">
        <v>9</v>
      </c>
      <c r="H138" s="9" t="s">
        <v>9</v>
      </c>
      <c r="I138" s="6" t="s">
        <v>2</v>
      </c>
      <c r="L138" s="18">
        <v>5.46</v>
      </c>
      <c r="M138" s="19">
        <v>0</v>
      </c>
      <c r="N138" s="18">
        <v>0</v>
      </c>
      <c r="T138" s="4"/>
      <c r="U138" s="4"/>
      <c r="V138" s="10"/>
      <c r="W138" s="15"/>
      <c r="X138" s="16"/>
      <c r="Y138" s="16"/>
      <c r="Z138" s="15"/>
      <c r="AA138" s="17"/>
      <c r="AD138" s="20" t="str">
        <f>IF((B138="")+(B138="Vacante")+(D138=""),"",IFERROR(MATCH(D138,{"Oficinas";"Locales";"Estacionamientos";"Bodegas"},0),5)&amp;"|"&amp;B138&amp;"|"&amp;TEXT(G138,"yyyymmdd")&amp;"|"&amp;TEXT(H138,"yyyymmdd"))</f>
        <v/>
      </c>
      <c r="AE138" s="4"/>
      <c r="AF138" s="4"/>
    </row>
    <row r="139" spans="1:32" x14ac:dyDescent="0.2">
      <c r="A139" s="5">
        <v>-6</v>
      </c>
      <c r="B139" s="6" t="s">
        <v>188</v>
      </c>
      <c r="C139" s="6" t="s">
        <v>31</v>
      </c>
      <c r="D139" s="6" t="s">
        <v>8</v>
      </c>
      <c r="E139" s="5">
        <v>616</v>
      </c>
      <c r="F139" s="6" t="s">
        <v>109</v>
      </c>
      <c r="G139" s="9">
        <v>46112</v>
      </c>
      <c r="H139" s="9">
        <v>46843</v>
      </c>
      <c r="I139" s="6" t="s">
        <v>2</v>
      </c>
      <c r="L139" s="18">
        <v>4.97</v>
      </c>
      <c r="M139" s="19">
        <v>0.3</v>
      </c>
      <c r="N139" s="18">
        <v>1.4909999999999999</v>
      </c>
      <c r="T139" s="4"/>
      <c r="U139" s="4"/>
      <c r="V139" s="10"/>
      <c r="W139" s="15"/>
      <c r="X139" s="16"/>
      <c r="Y139" s="16"/>
      <c r="Z139" s="15"/>
      <c r="AA139" s="17"/>
      <c r="AD139" s="20" t="str">
        <f>IF((B139="")+(B139="Vacante")+(D139=""),"",IFERROR(MATCH(D139,{"Oficinas";"Locales";"Estacionamientos";"Bodegas"},0),5)&amp;"|"&amp;B139&amp;"|"&amp;TEXT(G139,"yyyymmdd")&amp;"|"&amp;TEXT(H139,"yyyymmdd"))</f>
        <v>4|AMLV GRUPO|20260331|20280331</v>
      </c>
      <c r="AE139" s="4"/>
      <c r="AF139" s="4"/>
    </row>
    <row r="140" spans="1:32" x14ac:dyDescent="0.2">
      <c r="A140" s="5">
        <v>-6</v>
      </c>
      <c r="B140" s="6" t="s">
        <v>188</v>
      </c>
      <c r="C140" s="6" t="s">
        <v>31</v>
      </c>
      <c r="D140" s="6" t="s">
        <v>8</v>
      </c>
      <c r="E140" s="5">
        <v>617</v>
      </c>
      <c r="F140" s="6" t="s">
        <v>110</v>
      </c>
      <c r="G140" s="9">
        <v>46112</v>
      </c>
      <c r="H140" s="9">
        <v>46843</v>
      </c>
      <c r="I140" s="6" t="s">
        <v>2</v>
      </c>
      <c r="L140" s="18">
        <v>4.68</v>
      </c>
      <c r="M140" s="19">
        <v>0.3</v>
      </c>
      <c r="N140" s="18">
        <v>1.4039999999999999</v>
      </c>
      <c r="T140" s="4"/>
      <c r="U140" s="4"/>
      <c r="V140" s="10"/>
      <c r="W140" s="15"/>
      <c r="X140" s="16"/>
      <c r="Y140" s="16"/>
      <c r="Z140" s="15"/>
      <c r="AA140" s="17"/>
      <c r="AD140" s="20" t="str">
        <f>IF((B140="")+(B140="Vacante")+(D140=""),"",IFERROR(MATCH(D140,{"Oficinas";"Locales";"Estacionamientos";"Bodegas"},0),5)&amp;"|"&amp;B140&amp;"|"&amp;TEXT(G140,"yyyymmdd")&amp;"|"&amp;TEXT(H140,"yyyymmdd"))</f>
        <v>4|AMLV GRUPO|20260331|20280331</v>
      </c>
      <c r="AE140" s="4"/>
      <c r="AF140" s="4"/>
    </row>
    <row r="141" spans="1:32" x14ac:dyDescent="0.2">
      <c r="A141" s="5">
        <v>-6</v>
      </c>
      <c r="B141" s="6" t="s">
        <v>188</v>
      </c>
      <c r="C141" s="6" t="s">
        <v>31</v>
      </c>
      <c r="D141" s="6" t="s">
        <v>8</v>
      </c>
      <c r="E141" s="5">
        <v>618</v>
      </c>
      <c r="F141" s="6" t="s">
        <v>111</v>
      </c>
      <c r="G141" s="9">
        <v>46112</v>
      </c>
      <c r="H141" s="9">
        <v>46843</v>
      </c>
      <c r="I141" s="6" t="s">
        <v>2</v>
      </c>
      <c r="L141" s="18">
        <v>3.81</v>
      </c>
      <c r="M141" s="19">
        <v>0.3</v>
      </c>
      <c r="N141" s="18">
        <v>1.143</v>
      </c>
      <c r="T141" s="4"/>
      <c r="U141" s="4"/>
      <c r="V141" s="10"/>
      <c r="W141" s="15"/>
      <c r="X141" s="16"/>
      <c r="Y141" s="16"/>
      <c r="Z141" s="15"/>
      <c r="AA141" s="17"/>
      <c r="AD141" s="20" t="str">
        <f>IF((B141="")+(B141="Vacante")+(D141=""),"",IFERROR(MATCH(D141,{"Oficinas";"Locales";"Estacionamientos";"Bodegas"},0),5)&amp;"|"&amp;B141&amp;"|"&amp;TEXT(G141,"yyyymmdd")&amp;"|"&amp;TEXT(H141,"yyyymmdd"))</f>
        <v>4|AMLV GRUPO|20260331|20280331</v>
      </c>
      <c r="AE141" s="4"/>
      <c r="AF141" s="4"/>
    </row>
    <row r="142" spans="1:32" x14ac:dyDescent="0.2">
      <c r="A142" s="5">
        <v>-6</v>
      </c>
      <c r="B142" s="6" t="s">
        <v>4</v>
      </c>
      <c r="C142" s="6" t="s">
        <v>4</v>
      </c>
      <c r="D142" s="6" t="s">
        <v>8</v>
      </c>
      <c r="E142" s="5">
        <v>619</v>
      </c>
      <c r="G142" s="9" t="s">
        <v>9</v>
      </c>
      <c r="H142" s="9" t="s">
        <v>9</v>
      </c>
      <c r="I142" s="6" t="s">
        <v>2</v>
      </c>
      <c r="L142" s="18">
        <v>3.4</v>
      </c>
      <c r="M142" s="19">
        <v>0</v>
      </c>
      <c r="N142" s="18">
        <v>0</v>
      </c>
      <c r="T142" s="4"/>
      <c r="U142" s="4"/>
      <c r="V142" s="10"/>
      <c r="W142" s="15"/>
      <c r="X142" s="16"/>
      <c r="Y142" s="16"/>
      <c r="Z142" s="15"/>
      <c r="AA142" s="17"/>
      <c r="AD142" s="20" t="str">
        <f>IF((B142="")+(B142="Vacante")+(D142=""),"",IFERROR(MATCH(D142,{"Oficinas";"Locales";"Estacionamientos";"Bodegas"},0),5)&amp;"|"&amp;B142&amp;"|"&amp;TEXT(G142,"yyyymmdd")&amp;"|"&amp;TEXT(H142,"yyyymmdd"))</f>
        <v/>
      </c>
      <c r="AE142" s="4"/>
      <c r="AF142" s="4"/>
    </row>
    <row r="143" spans="1:32" x14ac:dyDescent="0.2">
      <c r="A143" s="5">
        <v>-6</v>
      </c>
      <c r="B143" s="6" t="s">
        <v>4</v>
      </c>
      <c r="C143" s="6" t="s">
        <v>4</v>
      </c>
      <c r="D143" s="6" t="s">
        <v>8</v>
      </c>
      <c r="E143" s="5">
        <v>620</v>
      </c>
      <c r="G143" s="9" t="s">
        <v>9</v>
      </c>
      <c r="H143" s="9" t="s">
        <v>9</v>
      </c>
      <c r="I143" s="6" t="s">
        <v>2</v>
      </c>
      <c r="L143" s="18">
        <v>13.25</v>
      </c>
      <c r="M143" s="19">
        <v>0</v>
      </c>
      <c r="N143" s="18">
        <v>0</v>
      </c>
      <c r="T143" s="4"/>
      <c r="U143" s="4"/>
      <c r="V143" s="10"/>
      <c r="W143" s="15"/>
      <c r="X143" s="16"/>
      <c r="Y143" s="16"/>
      <c r="Z143" s="15"/>
      <c r="AA143" s="17"/>
      <c r="AD143" s="20" t="str">
        <f>IF((B143="")+(B143="Vacante")+(D143=""),"",IFERROR(MATCH(D143,{"Oficinas";"Locales";"Estacionamientos";"Bodegas"},0),5)&amp;"|"&amp;B143&amp;"|"&amp;TEXT(G143,"yyyymmdd")&amp;"|"&amp;TEXT(H143,"yyyymmdd"))</f>
        <v/>
      </c>
      <c r="AE143" s="4"/>
      <c r="AF143" s="4"/>
    </row>
    <row r="144" spans="1:32" x14ac:dyDescent="0.2">
      <c r="A144" s="5">
        <v>-6</v>
      </c>
      <c r="B144" s="6" t="s">
        <v>201</v>
      </c>
      <c r="C144" s="6" t="s">
        <v>78</v>
      </c>
      <c r="D144" s="6" t="s">
        <v>8</v>
      </c>
      <c r="E144" s="5">
        <v>621</v>
      </c>
      <c r="G144" s="9" t="s">
        <v>9</v>
      </c>
      <c r="H144" s="9">
        <v>46173</v>
      </c>
      <c r="I144" s="6" t="s">
        <v>2</v>
      </c>
      <c r="L144" s="18">
        <v>41.06</v>
      </c>
      <c r="M144" s="19">
        <v>0.3</v>
      </c>
      <c r="N144" s="18">
        <v>12.318</v>
      </c>
      <c r="T144" s="4"/>
      <c r="U144" s="4"/>
      <c r="V144" s="10"/>
      <c r="W144" s="15"/>
      <c r="X144" s="16"/>
      <c r="Y144" s="16"/>
      <c r="Z144" s="15"/>
      <c r="AA144" s="17"/>
      <c r="AD144" s="20" t="str">
        <f>IF((B144="")+(B144="Vacante")+(D144=""),"",IFERROR(MATCH(D144,{"Oficinas";"Locales";"Estacionamientos";"Bodegas"},0),5)&amp;"|"&amp;B144&amp;"|"&amp;TEXT(G144,"yyyymmdd")&amp;"|"&amp;TEXT(H144,"yyyymmdd"))</f>
        <v>4|MERCADO ISIDORA |-|20260531</v>
      </c>
      <c r="AE144" s="4"/>
      <c r="AF144" s="4"/>
    </row>
    <row r="145" spans="1:32" x14ac:dyDescent="0.2">
      <c r="A145" s="5">
        <v>-6</v>
      </c>
      <c r="B145" s="6" t="s">
        <v>4</v>
      </c>
      <c r="C145" s="6" t="s">
        <v>4</v>
      </c>
      <c r="D145" s="6" t="s">
        <v>8</v>
      </c>
      <c r="E145" s="5">
        <v>622</v>
      </c>
      <c r="G145" s="9" t="s">
        <v>9</v>
      </c>
      <c r="H145" s="9" t="s">
        <v>9</v>
      </c>
      <c r="I145" s="6" t="s">
        <v>2</v>
      </c>
      <c r="L145" s="18">
        <v>18.18</v>
      </c>
      <c r="M145" s="19">
        <v>0</v>
      </c>
      <c r="N145" s="18">
        <v>0</v>
      </c>
      <c r="T145" s="4"/>
      <c r="U145" s="4"/>
      <c r="V145" s="10"/>
      <c r="W145" s="15"/>
      <c r="X145" s="16"/>
      <c r="Y145" s="16"/>
      <c r="Z145" s="15"/>
      <c r="AA145" s="17"/>
      <c r="AD145" s="20" t="str">
        <f>IF((B145="")+(B145="Vacante")+(D145=""),"",IFERROR(MATCH(D145,{"Oficinas";"Locales";"Estacionamientos";"Bodegas"},0),5)&amp;"|"&amp;B145&amp;"|"&amp;TEXT(G145,"yyyymmdd")&amp;"|"&amp;TEXT(H145,"yyyymmdd"))</f>
        <v/>
      </c>
      <c r="AE145" s="4"/>
      <c r="AF145" s="4"/>
    </row>
    <row r="146" spans="1:32" x14ac:dyDescent="0.2">
      <c r="A146" s="5">
        <v>-6</v>
      </c>
      <c r="B146" s="6" t="s">
        <v>4</v>
      </c>
      <c r="C146" s="6" t="s">
        <v>4</v>
      </c>
      <c r="D146" s="6" t="s">
        <v>8</v>
      </c>
      <c r="E146" s="5">
        <v>623</v>
      </c>
      <c r="F146" s="6" t="s">
        <v>112</v>
      </c>
      <c r="G146" s="9" t="s">
        <v>9</v>
      </c>
      <c r="H146" s="9" t="s">
        <v>9</v>
      </c>
      <c r="I146" s="6" t="s">
        <v>2</v>
      </c>
      <c r="L146" s="18">
        <v>6.88</v>
      </c>
      <c r="M146" s="19">
        <v>0</v>
      </c>
      <c r="N146" s="18">
        <v>0</v>
      </c>
      <c r="T146" s="4"/>
      <c r="U146" s="4"/>
      <c r="V146" s="10"/>
      <c r="W146" s="15"/>
      <c r="X146" s="16"/>
      <c r="Y146" s="16"/>
      <c r="Z146" s="15"/>
      <c r="AA146" s="17"/>
      <c r="AD146" s="20" t="str">
        <f>IF((B146="")+(B146="Vacante")+(D146=""),"",IFERROR(MATCH(D146,{"Oficinas";"Locales";"Estacionamientos";"Bodegas"},0),5)&amp;"|"&amp;B146&amp;"|"&amp;TEXT(G146,"yyyymmdd")&amp;"|"&amp;TEXT(H146,"yyyymmdd"))</f>
        <v/>
      </c>
      <c r="AE146" s="4"/>
      <c r="AF146" s="4"/>
    </row>
    <row r="147" spans="1:32" x14ac:dyDescent="0.2">
      <c r="A147" s="5">
        <v>-6</v>
      </c>
      <c r="B147" s="6" t="s">
        <v>199</v>
      </c>
      <c r="C147" s="6" t="s">
        <v>88</v>
      </c>
      <c r="D147" s="6" t="s">
        <v>10</v>
      </c>
      <c r="E147" s="5">
        <v>6001</v>
      </c>
      <c r="G147" s="9" t="s">
        <v>9</v>
      </c>
      <c r="H147" s="9">
        <v>47634</v>
      </c>
      <c r="I147" s="6" t="s">
        <v>2</v>
      </c>
      <c r="L147" s="18">
        <v>1</v>
      </c>
      <c r="M147" s="19">
        <v>4.3</v>
      </c>
      <c r="N147" s="18">
        <v>4.3</v>
      </c>
      <c r="T147" s="4"/>
      <c r="U147" s="4"/>
      <c r="V147" s="10"/>
      <c r="W147" s="15"/>
      <c r="X147" s="16"/>
      <c r="Y147" s="16"/>
      <c r="Z147" s="15"/>
      <c r="AA147" s="17"/>
      <c r="AD147" s="20" t="str">
        <f>IF((B147="")+(B147="Vacante")+(D147=""),"",IFERROR(MATCH(D147,{"Oficinas";"Locales";"Estacionamientos";"Bodegas"},0),5)&amp;"|"&amp;B147&amp;"|"&amp;TEXT(G147,"yyyymmdd")&amp;"|"&amp;TEXT(H147,"yyyymmdd"))</f>
        <v>3|PROGARANTIA |-|20300531</v>
      </c>
      <c r="AE147" s="4"/>
      <c r="AF147" s="4"/>
    </row>
    <row r="148" spans="1:32" x14ac:dyDescent="0.2">
      <c r="A148" s="5">
        <v>-6</v>
      </c>
      <c r="B148" s="6" t="s">
        <v>199</v>
      </c>
      <c r="C148" s="6" t="s">
        <v>88</v>
      </c>
      <c r="D148" s="6" t="s">
        <v>10</v>
      </c>
      <c r="E148" s="5">
        <v>6002</v>
      </c>
      <c r="G148" s="9" t="s">
        <v>9</v>
      </c>
      <c r="H148" s="9">
        <v>47634</v>
      </c>
      <c r="I148" s="6" t="s">
        <v>2</v>
      </c>
      <c r="L148" s="18">
        <v>1</v>
      </c>
      <c r="M148" s="19">
        <v>4.3</v>
      </c>
      <c r="N148" s="18">
        <v>4.3</v>
      </c>
      <c r="T148" s="4"/>
      <c r="U148" s="4"/>
      <c r="V148" s="10"/>
      <c r="W148" s="15"/>
      <c r="X148" s="16"/>
      <c r="Y148" s="16"/>
      <c r="Z148" s="15"/>
      <c r="AA148" s="17"/>
      <c r="AD148" s="20" t="str">
        <f>IF((B148="")+(B148="Vacante")+(D148=""),"",IFERROR(MATCH(D148,{"Oficinas";"Locales";"Estacionamientos";"Bodegas"},0),5)&amp;"|"&amp;B148&amp;"|"&amp;TEXT(G148,"yyyymmdd")&amp;"|"&amp;TEXT(H148,"yyyymmdd"))</f>
        <v>3|PROGARANTIA |-|20300531</v>
      </c>
      <c r="AE148" s="4"/>
      <c r="AF148" s="4"/>
    </row>
    <row r="149" spans="1:32" x14ac:dyDescent="0.2">
      <c r="A149" s="5">
        <v>-6</v>
      </c>
      <c r="B149" s="6" t="s">
        <v>199</v>
      </c>
      <c r="C149" s="6" t="s">
        <v>88</v>
      </c>
      <c r="D149" s="6" t="s">
        <v>10</v>
      </c>
      <c r="E149" s="5">
        <v>6003</v>
      </c>
      <c r="G149" s="9" t="s">
        <v>9</v>
      </c>
      <c r="H149" s="9">
        <v>47634</v>
      </c>
      <c r="I149" s="6" t="s">
        <v>2</v>
      </c>
      <c r="L149" s="18">
        <v>1</v>
      </c>
      <c r="M149" s="19">
        <v>4.3</v>
      </c>
      <c r="N149" s="18">
        <v>4.3</v>
      </c>
      <c r="T149" s="4"/>
      <c r="U149" s="4"/>
      <c r="V149" s="10"/>
      <c r="W149" s="15"/>
      <c r="X149" s="16"/>
      <c r="Y149" s="16"/>
      <c r="Z149" s="15"/>
      <c r="AA149" s="17"/>
      <c r="AD149" s="20" t="str">
        <f>IF((B149="")+(B149="Vacante")+(D149=""),"",IFERROR(MATCH(D149,{"Oficinas";"Locales";"Estacionamientos";"Bodegas"},0),5)&amp;"|"&amp;B149&amp;"|"&amp;TEXT(G149,"yyyymmdd")&amp;"|"&amp;TEXT(H149,"yyyymmdd"))</f>
        <v>3|PROGARANTIA |-|20300531</v>
      </c>
      <c r="AE149" s="4"/>
      <c r="AF149" s="4"/>
    </row>
    <row r="150" spans="1:32" x14ac:dyDescent="0.2">
      <c r="A150" s="5">
        <v>-6</v>
      </c>
      <c r="B150" s="6" t="s">
        <v>199</v>
      </c>
      <c r="C150" s="6" t="s">
        <v>88</v>
      </c>
      <c r="D150" s="6" t="s">
        <v>10</v>
      </c>
      <c r="E150" s="5">
        <v>6004</v>
      </c>
      <c r="G150" s="9" t="s">
        <v>9</v>
      </c>
      <c r="H150" s="9">
        <v>47634</v>
      </c>
      <c r="I150" s="6" t="s">
        <v>2</v>
      </c>
      <c r="L150" s="18">
        <v>1</v>
      </c>
      <c r="M150" s="19">
        <v>4.3</v>
      </c>
      <c r="N150" s="18">
        <v>4.3</v>
      </c>
      <c r="T150" s="4"/>
      <c r="U150" s="4"/>
      <c r="V150" s="10"/>
      <c r="W150" s="15"/>
      <c r="X150" s="16"/>
      <c r="Y150" s="16"/>
      <c r="Z150" s="15"/>
      <c r="AA150" s="17"/>
      <c r="AD150" s="20" t="str">
        <f>IF((B150="")+(B150="Vacante")+(D150=""),"",IFERROR(MATCH(D150,{"Oficinas";"Locales";"Estacionamientos";"Bodegas"},0),5)&amp;"|"&amp;B150&amp;"|"&amp;TEXT(G150,"yyyymmdd")&amp;"|"&amp;TEXT(H150,"yyyymmdd"))</f>
        <v>3|PROGARANTIA |-|20300531</v>
      </c>
      <c r="AE150" s="4"/>
      <c r="AF150" s="4"/>
    </row>
    <row r="151" spans="1:32" x14ac:dyDescent="0.2">
      <c r="A151" s="5">
        <v>-6</v>
      </c>
      <c r="B151" s="6" t="s">
        <v>199</v>
      </c>
      <c r="C151" s="6" t="s">
        <v>88</v>
      </c>
      <c r="D151" s="6" t="s">
        <v>10</v>
      </c>
      <c r="E151" s="5">
        <v>6005</v>
      </c>
      <c r="G151" s="9" t="s">
        <v>9</v>
      </c>
      <c r="H151" s="9">
        <v>47634</v>
      </c>
      <c r="I151" s="6" t="s">
        <v>2</v>
      </c>
      <c r="L151" s="18">
        <v>1</v>
      </c>
      <c r="M151" s="19">
        <v>4.3</v>
      </c>
      <c r="N151" s="18">
        <v>4.3</v>
      </c>
      <c r="T151" s="4"/>
      <c r="U151" s="4"/>
      <c r="V151" s="10"/>
      <c r="W151" s="15"/>
      <c r="X151" s="16"/>
      <c r="Y151" s="16"/>
      <c r="Z151" s="15"/>
      <c r="AA151" s="17"/>
      <c r="AD151" s="20" t="str">
        <f>IF((B151="")+(B151="Vacante")+(D151=""),"",IFERROR(MATCH(D151,{"Oficinas";"Locales";"Estacionamientos";"Bodegas"},0),5)&amp;"|"&amp;B151&amp;"|"&amp;TEXT(G151,"yyyymmdd")&amp;"|"&amp;TEXT(H151,"yyyymmdd"))</f>
        <v>3|PROGARANTIA |-|20300531</v>
      </c>
      <c r="AE151" s="4"/>
      <c r="AF151" s="4"/>
    </row>
    <row r="152" spans="1:32" x14ac:dyDescent="0.2">
      <c r="A152" s="5">
        <v>-6</v>
      </c>
      <c r="B152" s="6" t="s">
        <v>199</v>
      </c>
      <c r="C152" s="6" t="s">
        <v>88</v>
      </c>
      <c r="D152" s="6" t="s">
        <v>10</v>
      </c>
      <c r="E152" s="5">
        <v>6006</v>
      </c>
      <c r="G152" s="9" t="s">
        <v>9</v>
      </c>
      <c r="H152" s="9">
        <v>47634</v>
      </c>
      <c r="I152" s="6" t="s">
        <v>2</v>
      </c>
      <c r="L152" s="18">
        <v>1</v>
      </c>
      <c r="M152" s="19">
        <v>4.3</v>
      </c>
      <c r="N152" s="18">
        <v>4.3</v>
      </c>
      <c r="T152" s="4"/>
      <c r="U152" s="4"/>
      <c r="V152" s="10"/>
      <c r="W152" s="15"/>
      <c r="X152" s="16"/>
      <c r="Y152" s="16"/>
      <c r="Z152" s="15"/>
      <c r="AA152" s="17"/>
      <c r="AD152" s="20" t="str">
        <f>IF((B152="")+(B152="Vacante")+(D152=""),"",IFERROR(MATCH(D152,{"Oficinas";"Locales";"Estacionamientos";"Bodegas"},0),5)&amp;"|"&amp;B152&amp;"|"&amp;TEXT(G152,"yyyymmdd")&amp;"|"&amp;TEXT(H152,"yyyymmdd"))</f>
        <v>3|PROGARANTIA |-|20300531</v>
      </c>
      <c r="AE152" s="4"/>
      <c r="AF152" s="4"/>
    </row>
    <row r="153" spans="1:32" x14ac:dyDescent="0.2">
      <c r="A153" s="5">
        <v>-6</v>
      </c>
      <c r="B153" s="6" t="s">
        <v>199</v>
      </c>
      <c r="C153" s="6" t="s">
        <v>88</v>
      </c>
      <c r="D153" s="6" t="s">
        <v>10</v>
      </c>
      <c r="E153" s="5">
        <v>6007</v>
      </c>
      <c r="G153" s="9" t="s">
        <v>9</v>
      </c>
      <c r="H153" s="9">
        <v>47634</v>
      </c>
      <c r="I153" s="6" t="s">
        <v>2</v>
      </c>
      <c r="L153" s="18">
        <v>1</v>
      </c>
      <c r="M153" s="19">
        <v>4.3</v>
      </c>
      <c r="N153" s="18">
        <v>4.3</v>
      </c>
      <c r="T153" s="4"/>
      <c r="U153" s="4"/>
      <c r="V153" s="10"/>
      <c r="W153" s="15"/>
      <c r="X153" s="16"/>
      <c r="Y153" s="16"/>
      <c r="Z153" s="15"/>
      <c r="AA153" s="17"/>
      <c r="AD153" s="20" t="str">
        <f>IF((B153="")+(B153="Vacante")+(D153=""),"",IFERROR(MATCH(D153,{"Oficinas";"Locales";"Estacionamientos";"Bodegas"},0),5)&amp;"|"&amp;B153&amp;"|"&amp;TEXT(G153,"yyyymmdd")&amp;"|"&amp;TEXT(H153,"yyyymmdd"))</f>
        <v>3|PROGARANTIA |-|20300531</v>
      </c>
      <c r="AE153" s="4"/>
      <c r="AF153" s="4"/>
    </row>
    <row r="154" spans="1:32" x14ac:dyDescent="0.2">
      <c r="A154" s="5">
        <v>-6</v>
      </c>
      <c r="B154" s="6" t="s">
        <v>199</v>
      </c>
      <c r="C154" s="6" t="s">
        <v>88</v>
      </c>
      <c r="D154" s="6" t="s">
        <v>10</v>
      </c>
      <c r="E154" s="5">
        <v>6008</v>
      </c>
      <c r="G154" s="9" t="s">
        <v>9</v>
      </c>
      <c r="H154" s="9">
        <v>47634</v>
      </c>
      <c r="I154" s="6" t="s">
        <v>2</v>
      </c>
      <c r="L154" s="18">
        <v>1</v>
      </c>
      <c r="M154" s="19">
        <v>4.3</v>
      </c>
      <c r="N154" s="18">
        <v>4.3</v>
      </c>
      <c r="T154" s="4"/>
      <c r="U154" s="4"/>
      <c r="V154" s="10"/>
      <c r="W154" s="15"/>
      <c r="X154" s="16"/>
      <c r="Y154" s="16"/>
      <c r="Z154" s="15"/>
      <c r="AA154" s="17"/>
      <c r="AD154" s="20" t="str">
        <f>IF((B154="")+(B154="Vacante")+(D154=""),"",IFERROR(MATCH(D154,{"Oficinas";"Locales";"Estacionamientos";"Bodegas"},0),5)&amp;"|"&amp;B154&amp;"|"&amp;TEXT(G154,"yyyymmdd")&amp;"|"&amp;TEXT(H154,"yyyymmdd"))</f>
        <v>3|PROGARANTIA |-|20300531</v>
      </c>
      <c r="AE154" s="4"/>
      <c r="AF154" s="4"/>
    </row>
    <row r="155" spans="1:32" x14ac:dyDescent="0.2">
      <c r="A155" s="5">
        <v>-6</v>
      </c>
      <c r="B155" s="6" t="s">
        <v>199</v>
      </c>
      <c r="C155" s="6" t="s">
        <v>88</v>
      </c>
      <c r="D155" s="6" t="s">
        <v>10</v>
      </c>
      <c r="E155" s="5">
        <v>6009</v>
      </c>
      <c r="G155" s="9" t="s">
        <v>9</v>
      </c>
      <c r="H155" s="9">
        <v>47634</v>
      </c>
      <c r="I155" s="6" t="s">
        <v>2</v>
      </c>
      <c r="L155" s="18">
        <v>1</v>
      </c>
      <c r="M155" s="19">
        <v>4.3</v>
      </c>
      <c r="N155" s="18">
        <v>4.3</v>
      </c>
      <c r="T155" s="4"/>
      <c r="U155" s="4"/>
      <c r="V155" s="10"/>
      <c r="W155" s="15"/>
      <c r="X155" s="16"/>
      <c r="Y155" s="16"/>
      <c r="Z155" s="15"/>
      <c r="AA155" s="17"/>
      <c r="AD155" s="20" t="str">
        <f>IF((B155="")+(B155="Vacante")+(D155=""),"",IFERROR(MATCH(D155,{"Oficinas";"Locales";"Estacionamientos";"Bodegas"},0),5)&amp;"|"&amp;B155&amp;"|"&amp;TEXT(G155,"yyyymmdd")&amp;"|"&amp;TEXT(H155,"yyyymmdd"))</f>
        <v>3|PROGARANTIA |-|20300531</v>
      </c>
      <c r="AE155" s="4"/>
      <c r="AF155" s="4"/>
    </row>
    <row r="156" spans="1:32" x14ac:dyDescent="0.2">
      <c r="A156" s="5">
        <v>-6</v>
      </c>
      <c r="B156" s="6" t="s">
        <v>199</v>
      </c>
      <c r="C156" s="6" t="s">
        <v>88</v>
      </c>
      <c r="D156" s="6" t="s">
        <v>10</v>
      </c>
      <c r="E156" s="5">
        <v>6010</v>
      </c>
      <c r="G156" s="9" t="s">
        <v>9</v>
      </c>
      <c r="H156" s="9">
        <v>47634</v>
      </c>
      <c r="I156" s="6" t="s">
        <v>2</v>
      </c>
      <c r="L156" s="18">
        <v>1</v>
      </c>
      <c r="M156" s="19">
        <v>4.3</v>
      </c>
      <c r="N156" s="18">
        <v>4.3</v>
      </c>
      <c r="T156" s="4"/>
      <c r="U156" s="4"/>
      <c r="V156" s="10"/>
      <c r="W156" s="15"/>
      <c r="X156" s="16"/>
      <c r="Y156" s="16"/>
      <c r="Z156" s="15"/>
      <c r="AA156" s="17"/>
      <c r="AD156" s="20" t="str">
        <f>IF((B156="")+(B156="Vacante")+(D156=""),"",IFERROR(MATCH(D156,{"Oficinas";"Locales";"Estacionamientos";"Bodegas"},0),5)&amp;"|"&amp;B156&amp;"|"&amp;TEXT(G156,"yyyymmdd")&amp;"|"&amp;TEXT(H156,"yyyymmdd"))</f>
        <v>3|PROGARANTIA |-|20300531</v>
      </c>
      <c r="AE156" s="4"/>
      <c r="AF156" s="4"/>
    </row>
    <row r="157" spans="1:32" x14ac:dyDescent="0.2">
      <c r="A157" s="5">
        <v>-6</v>
      </c>
      <c r="B157" s="6" t="s">
        <v>199</v>
      </c>
      <c r="C157" s="6" t="s">
        <v>88</v>
      </c>
      <c r="D157" s="6" t="s">
        <v>10</v>
      </c>
      <c r="E157" s="5">
        <v>6011</v>
      </c>
      <c r="G157" s="9" t="s">
        <v>9</v>
      </c>
      <c r="H157" s="9">
        <v>47634</v>
      </c>
      <c r="I157" s="6" t="s">
        <v>2</v>
      </c>
      <c r="L157" s="18">
        <v>1</v>
      </c>
      <c r="M157" s="19">
        <v>4.3</v>
      </c>
      <c r="N157" s="18">
        <v>4.3</v>
      </c>
      <c r="T157" s="4"/>
      <c r="U157" s="4"/>
      <c r="V157" s="10"/>
      <c r="W157" s="15"/>
      <c r="X157" s="16"/>
      <c r="Y157" s="16"/>
      <c r="Z157" s="15"/>
      <c r="AA157" s="17"/>
      <c r="AD157" s="20" t="str">
        <f>IF((B157="")+(B157="Vacante")+(D157=""),"",IFERROR(MATCH(D157,{"Oficinas";"Locales";"Estacionamientos";"Bodegas"},0),5)&amp;"|"&amp;B157&amp;"|"&amp;TEXT(G157,"yyyymmdd")&amp;"|"&amp;TEXT(H157,"yyyymmdd"))</f>
        <v>3|PROGARANTIA |-|20300531</v>
      </c>
      <c r="AE157" s="4"/>
      <c r="AF157" s="4"/>
    </row>
    <row r="158" spans="1:32" x14ac:dyDescent="0.2">
      <c r="A158" s="5">
        <v>-6</v>
      </c>
      <c r="B158" s="6" t="s">
        <v>199</v>
      </c>
      <c r="C158" s="6" t="s">
        <v>88</v>
      </c>
      <c r="D158" s="6" t="s">
        <v>10</v>
      </c>
      <c r="E158" s="5">
        <v>6012</v>
      </c>
      <c r="G158" s="9" t="s">
        <v>9</v>
      </c>
      <c r="H158" s="9">
        <v>47634</v>
      </c>
      <c r="I158" s="6" t="s">
        <v>2</v>
      </c>
      <c r="L158" s="18">
        <v>1</v>
      </c>
      <c r="M158" s="19">
        <v>4.3</v>
      </c>
      <c r="N158" s="18">
        <v>4.3</v>
      </c>
      <c r="T158" s="4"/>
      <c r="U158" s="4"/>
      <c r="V158" s="10"/>
      <c r="W158" s="15"/>
      <c r="X158" s="16"/>
      <c r="Y158" s="16"/>
      <c r="Z158" s="15"/>
      <c r="AA158" s="17"/>
      <c r="AD158" s="20" t="str">
        <f>IF((B158="")+(B158="Vacante")+(D158=""),"",IFERROR(MATCH(D158,{"Oficinas";"Locales";"Estacionamientos";"Bodegas"},0),5)&amp;"|"&amp;B158&amp;"|"&amp;TEXT(G158,"yyyymmdd")&amp;"|"&amp;TEXT(H158,"yyyymmdd"))</f>
        <v>3|PROGARANTIA |-|20300531</v>
      </c>
      <c r="AE158" s="4"/>
      <c r="AF158" s="4"/>
    </row>
    <row r="159" spans="1:32" x14ac:dyDescent="0.2">
      <c r="A159" s="5">
        <v>-6</v>
      </c>
      <c r="B159" s="6" t="s">
        <v>187</v>
      </c>
      <c r="C159" s="6" t="s">
        <v>33</v>
      </c>
      <c r="D159" s="6" t="s">
        <v>10</v>
      </c>
      <c r="E159" s="5">
        <v>6013</v>
      </c>
      <c r="G159" s="9" t="s">
        <v>9</v>
      </c>
      <c r="H159" s="9">
        <v>47542</v>
      </c>
      <c r="I159" s="6" t="s">
        <v>2</v>
      </c>
      <c r="L159" s="18">
        <v>1</v>
      </c>
      <c r="M159" s="19">
        <v>4.3</v>
      </c>
      <c r="N159" s="18">
        <v>4.3</v>
      </c>
      <c r="T159" s="4"/>
      <c r="U159" s="4"/>
      <c r="V159" s="10"/>
      <c r="W159" s="15"/>
      <c r="X159" s="16"/>
      <c r="Y159" s="16"/>
      <c r="Z159" s="15"/>
      <c r="AA159" s="17"/>
      <c r="AD159" s="20" t="str">
        <f>IF((B159="")+(B159="Vacante")+(D159=""),"",IFERROR(MATCH(D159,{"Oficinas";"Locales";"Estacionamientos";"Bodegas"},0),5)&amp;"|"&amp;B159&amp;"|"&amp;TEXT(G159,"yyyymmdd")&amp;"|"&amp;TEXT(H159,"yyyymmdd"))</f>
        <v>3|AHK|-|20300228</v>
      </c>
      <c r="AE159" s="4"/>
      <c r="AF159" s="4"/>
    </row>
    <row r="160" spans="1:32" x14ac:dyDescent="0.2">
      <c r="A160" s="5">
        <v>-6</v>
      </c>
      <c r="B160" s="6" t="s">
        <v>193</v>
      </c>
      <c r="C160" s="6" t="s">
        <v>24</v>
      </c>
      <c r="D160" s="6" t="s">
        <v>10</v>
      </c>
      <c r="E160" s="5">
        <v>6014</v>
      </c>
      <c r="G160" s="9" t="s">
        <v>9</v>
      </c>
      <c r="H160" s="9">
        <v>47528</v>
      </c>
      <c r="I160" s="6" t="s">
        <v>2</v>
      </c>
      <c r="L160" s="18">
        <v>1</v>
      </c>
      <c r="M160" s="19">
        <v>3</v>
      </c>
      <c r="N160" s="18">
        <v>3</v>
      </c>
      <c r="T160" s="4"/>
      <c r="U160" s="4"/>
      <c r="V160" s="10"/>
      <c r="W160" s="15"/>
      <c r="X160" s="16"/>
      <c r="Y160" s="16"/>
      <c r="Z160" s="15"/>
      <c r="AA160" s="17"/>
      <c r="AD160" s="20" t="str">
        <f>IF((B160="")+(B160="Vacante")+(D160=""),"",IFERROR(MATCH(D160,{"Oficinas";"Locales";"Estacionamientos";"Bodegas"},0),5)&amp;"|"&amp;B160&amp;"|"&amp;TEXT(G160,"yyyymmdd")&amp;"|"&amp;TEXT(H160,"yyyymmdd"))</f>
        <v>3|STELLANTIS|-|20300214</v>
      </c>
      <c r="AE160" s="4"/>
      <c r="AF160" s="4"/>
    </row>
    <row r="161" spans="1:32" x14ac:dyDescent="0.2">
      <c r="A161" s="5">
        <v>-6</v>
      </c>
      <c r="B161" s="6" t="s">
        <v>193</v>
      </c>
      <c r="C161" s="6" t="s">
        <v>24</v>
      </c>
      <c r="D161" s="6" t="s">
        <v>10</v>
      </c>
      <c r="E161" s="5">
        <v>6015</v>
      </c>
      <c r="G161" s="9" t="s">
        <v>9</v>
      </c>
      <c r="H161" s="9">
        <v>47528</v>
      </c>
      <c r="I161" s="6" t="s">
        <v>2</v>
      </c>
      <c r="L161" s="18">
        <v>1</v>
      </c>
      <c r="M161" s="19">
        <v>3</v>
      </c>
      <c r="N161" s="18">
        <v>3</v>
      </c>
      <c r="T161" s="4"/>
      <c r="U161" s="4"/>
      <c r="V161" s="10"/>
      <c r="W161" s="15"/>
      <c r="X161" s="16"/>
      <c r="Y161" s="16"/>
      <c r="Z161" s="15"/>
      <c r="AA161" s="17"/>
      <c r="AD161" s="20" t="str">
        <f>IF((B161="")+(B161="Vacante")+(D161=""),"",IFERROR(MATCH(D161,{"Oficinas";"Locales";"Estacionamientos";"Bodegas"},0),5)&amp;"|"&amp;B161&amp;"|"&amp;TEXT(G161,"yyyymmdd")&amp;"|"&amp;TEXT(H161,"yyyymmdd"))</f>
        <v>3|STELLANTIS|-|20300214</v>
      </c>
      <c r="AE161" s="4"/>
      <c r="AF161" s="4"/>
    </row>
    <row r="162" spans="1:32" x14ac:dyDescent="0.2">
      <c r="A162" s="5">
        <v>-6</v>
      </c>
      <c r="B162" s="6" t="s">
        <v>193</v>
      </c>
      <c r="C162" s="6" t="s">
        <v>24</v>
      </c>
      <c r="D162" s="6" t="s">
        <v>10</v>
      </c>
      <c r="E162" s="5">
        <v>6016</v>
      </c>
      <c r="G162" s="9" t="s">
        <v>9</v>
      </c>
      <c r="H162" s="9">
        <v>47528</v>
      </c>
      <c r="I162" s="6" t="s">
        <v>2</v>
      </c>
      <c r="L162" s="18">
        <v>1</v>
      </c>
      <c r="M162" s="19">
        <v>3</v>
      </c>
      <c r="N162" s="18">
        <v>3</v>
      </c>
      <c r="T162" s="4"/>
      <c r="U162" s="4"/>
      <c r="V162" s="10"/>
      <c r="W162" s="15"/>
      <c r="X162" s="16"/>
      <c r="Y162" s="16"/>
      <c r="Z162" s="15"/>
      <c r="AA162" s="17"/>
      <c r="AD162" s="20" t="str">
        <f>IF((B162="")+(B162="Vacante")+(D162=""),"",IFERROR(MATCH(D162,{"Oficinas";"Locales";"Estacionamientos";"Bodegas"},0),5)&amp;"|"&amp;B162&amp;"|"&amp;TEXT(G162,"yyyymmdd")&amp;"|"&amp;TEXT(H162,"yyyymmdd"))</f>
        <v>3|STELLANTIS|-|20300214</v>
      </c>
      <c r="AE162" s="4"/>
      <c r="AF162" s="4"/>
    </row>
    <row r="163" spans="1:32" x14ac:dyDescent="0.2">
      <c r="A163" s="5">
        <v>-6</v>
      </c>
      <c r="B163" s="6" t="s">
        <v>193</v>
      </c>
      <c r="C163" s="6" t="s">
        <v>24</v>
      </c>
      <c r="D163" s="6" t="s">
        <v>10</v>
      </c>
      <c r="E163" s="5">
        <v>6017</v>
      </c>
      <c r="G163" s="9" t="s">
        <v>9</v>
      </c>
      <c r="H163" s="9">
        <v>47528</v>
      </c>
      <c r="I163" s="6" t="s">
        <v>2</v>
      </c>
      <c r="L163" s="18">
        <v>1</v>
      </c>
      <c r="M163" s="19">
        <v>3</v>
      </c>
      <c r="N163" s="18">
        <v>3</v>
      </c>
      <c r="T163" s="4"/>
      <c r="U163" s="4"/>
      <c r="V163" s="10"/>
      <c r="W163" s="15"/>
      <c r="X163" s="16"/>
      <c r="Y163" s="16"/>
      <c r="Z163" s="15"/>
      <c r="AA163" s="17"/>
      <c r="AD163" s="20" t="str">
        <f>IF((B163="")+(B163="Vacante")+(D163=""),"",IFERROR(MATCH(D163,{"Oficinas";"Locales";"Estacionamientos";"Bodegas"},0),5)&amp;"|"&amp;B163&amp;"|"&amp;TEXT(G163,"yyyymmdd")&amp;"|"&amp;TEXT(H163,"yyyymmdd"))</f>
        <v>3|STELLANTIS|-|20300214</v>
      </c>
      <c r="AE163" s="4"/>
      <c r="AF163" s="4"/>
    </row>
    <row r="164" spans="1:32" x14ac:dyDescent="0.2">
      <c r="A164" s="5">
        <v>-6</v>
      </c>
      <c r="B164" s="6" t="s">
        <v>193</v>
      </c>
      <c r="C164" s="6" t="s">
        <v>24</v>
      </c>
      <c r="D164" s="6" t="s">
        <v>10</v>
      </c>
      <c r="E164" s="5">
        <v>6018</v>
      </c>
      <c r="G164" s="9" t="s">
        <v>9</v>
      </c>
      <c r="H164" s="9">
        <v>47528</v>
      </c>
      <c r="I164" s="6" t="s">
        <v>2</v>
      </c>
      <c r="L164" s="18">
        <v>1</v>
      </c>
      <c r="M164" s="19">
        <v>3</v>
      </c>
      <c r="N164" s="18">
        <v>3</v>
      </c>
      <c r="T164" s="4"/>
      <c r="U164" s="4"/>
      <c r="V164" s="10"/>
      <c r="W164" s="15"/>
      <c r="X164" s="16"/>
      <c r="Y164" s="16"/>
      <c r="Z164" s="15"/>
      <c r="AA164" s="17"/>
      <c r="AD164" s="20" t="str">
        <f>IF((B164="")+(B164="Vacante")+(D164=""),"",IFERROR(MATCH(D164,{"Oficinas";"Locales";"Estacionamientos";"Bodegas"},0),5)&amp;"|"&amp;B164&amp;"|"&amp;TEXT(G164,"yyyymmdd")&amp;"|"&amp;TEXT(H164,"yyyymmdd"))</f>
        <v>3|STELLANTIS|-|20300214</v>
      </c>
      <c r="AE164" s="4"/>
      <c r="AF164" s="4"/>
    </row>
    <row r="165" spans="1:32" x14ac:dyDescent="0.2">
      <c r="A165" s="5">
        <v>-6</v>
      </c>
      <c r="B165" s="6" t="s">
        <v>193</v>
      </c>
      <c r="C165" s="6" t="s">
        <v>24</v>
      </c>
      <c r="D165" s="6" t="s">
        <v>10</v>
      </c>
      <c r="E165" s="5">
        <v>6019</v>
      </c>
      <c r="G165" s="9" t="s">
        <v>9</v>
      </c>
      <c r="H165" s="9">
        <v>47528</v>
      </c>
      <c r="I165" s="6" t="s">
        <v>2</v>
      </c>
      <c r="L165" s="18">
        <v>1</v>
      </c>
      <c r="M165" s="19">
        <v>3</v>
      </c>
      <c r="N165" s="18">
        <v>3</v>
      </c>
      <c r="T165" s="4"/>
      <c r="U165" s="4"/>
      <c r="V165" s="10"/>
      <c r="W165" s="15"/>
      <c r="X165" s="16"/>
      <c r="Y165" s="16"/>
      <c r="Z165" s="15"/>
      <c r="AA165" s="17"/>
      <c r="AD165" s="20" t="str">
        <f>IF((B165="")+(B165="Vacante")+(D165=""),"",IFERROR(MATCH(D165,{"Oficinas";"Locales";"Estacionamientos";"Bodegas"},0),5)&amp;"|"&amp;B165&amp;"|"&amp;TEXT(G165,"yyyymmdd")&amp;"|"&amp;TEXT(H165,"yyyymmdd"))</f>
        <v>3|STELLANTIS|-|20300214</v>
      </c>
      <c r="AE165" s="4"/>
      <c r="AF165" s="4"/>
    </row>
    <row r="166" spans="1:32" x14ac:dyDescent="0.2">
      <c r="A166" s="5">
        <v>-6</v>
      </c>
      <c r="B166" s="6" t="s">
        <v>193</v>
      </c>
      <c r="C166" s="6" t="s">
        <v>24</v>
      </c>
      <c r="D166" s="6" t="s">
        <v>10</v>
      </c>
      <c r="E166" s="5">
        <v>6020</v>
      </c>
      <c r="G166" s="9" t="s">
        <v>9</v>
      </c>
      <c r="H166" s="9">
        <v>47528</v>
      </c>
      <c r="I166" s="6" t="s">
        <v>2</v>
      </c>
      <c r="L166" s="18">
        <v>1</v>
      </c>
      <c r="M166" s="19">
        <v>3</v>
      </c>
      <c r="N166" s="18">
        <v>3</v>
      </c>
      <c r="T166" s="4"/>
      <c r="U166" s="4"/>
      <c r="V166" s="10"/>
      <c r="W166" s="15"/>
      <c r="X166" s="16"/>
      <c r="Y166" s="16"/>
      <c r="Z166" s="15"/>
      <c r="AA166" s="17"/>
      <c r="AD166" s="20" t="str">
        <f>IF((B166="")+(B166="Vacante")+(D166=""),"",IFERROR(MATCH(D166,{"Oficinas";"Locales";"Estacionamientos";"Bodegas"},0),5)&amp;"|"&amp;B166&amp;"|"&amp;TEXT(G166,"yyyymmdd")&amp;"|"&amp;TEXT(H166,"yyyymmdd"))</f>
        <v>3|STELLANTIS|-|20300214</v>
      </c>
      <c r="AE166" s="4"/>
      <c r="AF166" s="4"/>
    </row>
    <row r="167" spans="1:32" x14ac:dyDescent="0.2">
      <c r="A167" s="5">
        <v>-6</v>
      </c>
      <c r="B167" s="6" t="s">
        <v>193</v>
      </c>
      <c r="C167" s="6" t="s">
        <v>24</v>
      </c>
      <c r="D167" s="6" t="s">
        <v>10</v>
      </c>
      <c r="E167" s="5">
        <v>6021</v>
      </c>
      <c r="G167" s="9" t="s">
        <v>9</v>
      </c>
      <c r="H167" s="9">
        <v>47528</v>
      </c>
      <c r="I167" s="6" t="s">
        <v>2</v>
      </c>
      <c r="L167" s="18">
        <v>1</v>
      </c>
      <c r="M167" s="19">
        <v>3</v>
      </c>
      <c r="N167" s="18">
        <v>3</v>
      </c>
      <c r="T167" s="4"/>
      <c r="U167" s="4"/>
      <c r="V167" s="10"/>
      <c r="W167" s="15"/>
      <c r="X167" s="16"/>
      <c r="Y167" s="16"/>
      <c r="Z167" s="15"/>
      <c r="AA167" s="17"/>
      <c r="AD167" s="20" t="str">
        <f>IF((B167="")+(B167="Vacante")+(D167=""),"",IFERROR(MATCH(D167,{"Oficinas";"Locales";"Estacionamientos";"Bodegas"},0),5)&amp;"|"&amp;B167&amp;"|"&amp;TEXT(G167,"yyyymmdd")&amp;"|"&amp;TEXT(H167,"yyyymmdd"))</f>
        <v>3|STELLANTIS|-|20300214</v>
      </c>
      <c r="AE167" s="4"/>
      <c r="AF167" s="4"/>
    </row>
    <row r="168" spans="1:32" x14ac:dyDescent="0.2">
      <c r="A168" s="5">
        <v>-6</v>
      </c>
      <c r="B168" s="6" t="s">
        <v>193</v>
      </c>
      <c r="C168" s="6" t="s">
        <v>24</v>
      </c>
      <c r="D168" s="6" t="s">
        <v>10</v>
      </c>
      <c r="E168" s="5">
        <v>6022</v>
      </c>
      <c r="G168" s="9" t="s">
        <v>9</v>
      </c>
      <c r="H168" s="9">
        <v>47528</v>
      </c>
      <c r="I168" s="6" t="s">
        <v>2</v>
      </c>
      <c r="L168" s="18">
        <v>1</v>
      </c>
      <c r="M168" s="19">
        <v>3</v>
      </c>
      <c r="N168" s="18">
        <v>3</v>
      </c>
      <c r="T168" s="4"/>
      <c r="U168" s="4"/>
      <c r="V168" s="10"/>
      <c r="W168" s="15"/>
      <c r="X168" s="16"/>
      <c r="Y168" s="16"/>
      <c r="Z168" s="15"/>
      <c r="AA168" s="17"/>
      <c r="AD168" s="20" t="str">
        <f>IF((B168="")+(B168="Vacante")+(D168=""),"",IFERROR(MATCH(D168,{"Oficinas";"Locales";"Estacionamientos";"Bodegas"},0),5)&amp;"|"&amp;B168&amp;"|"&amp;TEXT(G168,"yyyymmdd")&amp;"|"&amp;TEXT(H168,"yyyymmdd"))</f>
        <v>3|STELLANTIS|-|20300214</v>
      </c>
      <c r="AE168" s="4"/>
      <c r="AF168" s="4"/>
    </row>
    <row r="169" spans="1:32" x14ac:dyDescent="0.2">
      <c r="A169" s="5">
        <v>-6</v>
      </c>
      <c r="B169" s="6" t="s">
        <v>198</v>
      </c>
      <c r="C169" s="6" t="s">
        <v>61</v>
      </c>
      <c r="D169" s="6" t="s">
        <v>10</v>
      </c>
      <c r="E169" s="5">
        <v>6023</v>
      </c>
      <c r="F169" s="6" t="s">
        <v>104</v>
      </c>
      <c r="G169" s="9">
        <v>46522</v>
      </c>
      <c r="H169" s="9">
        <v>47361</v>
      </c>
      <c r="I169" s="6" t="s">
        <v>2</v>
      </c>
      <c r="L169" s="18">
        <v>1</v>
      </c>
      <c r="M169" s="19">
        <v>6</v>
      </c>
      <c r="N169" s="18">
        <v>6</v>
      </c>
      <c r="T169" s="4"/>
      <c r="U169" s="4"/>
      <c r="V169" s="10"/>
      <c r="W169" s="15"/>
      <c r="X169" s="16"/>
      <c r="Y169" s="16"/>
      <c r="Z169" s="15"/>
      <c r="AA169" s="17"/>
      <c r="AD169" s="20" t="str">
        <f>IF((B169="")+(B169="Vacante")+(D169=""),"",IFERROR(MATCH(D169,{"Oficinas";"Locales";"Estacionamientos";"Bodegas"},0),5)&amp;"|"&amp;B169&amp;"|"&amp;TEXT(G169,"yyyymmdd")&amp;"|"&amp;TEXT(H169,"yyyymmdd"))</f>
        <v>3|DEUTSCHE PHARMA|20270515|20290831</v>
      </c>
      <c r="AE169" s="4"/>
      <c r="AF169" s="4"/>
    </row>
    <row r="170" spans="1:32" x14ac:dyDescent="0.2">
      <c r="A170" s="5">
        <v>-6</v>
      </c>
      <c r="B170" s="6" t="s">
        <v>4</v>
      </c>
      <c r="C170" s="6" t="s">
        <v>4</v>
      </c>
      <c r="D170" s="6" t="s">
        <v>10</v>
      </c>
      <c r="E170" s="5">
        <v>6024</v>
      </c>
      <c r="F170" s="6" t="s">
        <v>104</v>
      </c>
      <c r="G170" s="9" t="s">
        <v>9</v>
      </c>
      <c r="H170" s="9" t="s">
        <v>9</v>
      </c>
      <c r="I170" s="6" t="s">
        <v>2</v>
      </c>
      <c r="L170" s="18">
        <v>1</v>
      </c>
      <c r="M170" s="19">
        <v>0</v>
      </c>
      <c r="N170" s="18">
        <v>0</v>
      </c>
      <c r="T170" s="4"/>
      <c r="U170" s="4"/>
      <c r="V170" s="10"/>
      <c r="W170" s="15"/>
      <c r="X170" s="16"/>
      <c r="Y170" s="16"/>
      <c r="Z170" s="15"/>
      <c r="AA170" s="17"/>
      <c r="AD170" s="20" t="str">
        <f>IF((B170="")+(B170="Vacante")+(D170=""),"",IFERROR(MATCH(D170,{"Oficinas";"Locales";"Estacionamientos";"Bodegas"},0),5)&amp;"|"&amp;B170&amp;"|"&amp;TEXT(G170,"yyyymmdd")&amp;"|"&amp;TEXT(H170,"yyyymmdd"))</f>
        <v/>
      </c>
      <c r="AE170" s="4"/>
      <c r="AF170" s="4"/>
    </row>
    <row r="171" spans="1:32" x14ac:dyDescent="0.2">
      <c r="A171" s="5">
        <v>-6</v>
      </c>
      <c r="B171" s="6" t="s">
        <v>4</v>
      </c>
      <c r="C171" s="6" t="s">
        <v>4</v>
      </c>
      <c r="D171" s="6" t="s">
        <v>10</v>
      </c>
      <c r="E171" s="5">
        <v>6025</v>
      </c>
      <c r="F171" s="6" t="s">
        <v>104</v>
      </c>
      <c r="G171" s="9" t="s">
        <v>9</v>
      </c>
      <c r="H171" s="9" t="s">
        <v>9</v>
      </c>
      <c r="I171" s="6" t="s">
        <v>2</v>
      </c>
      <c r="L171" s="18">
        <v>1</v>
      </c>
      <c r="M171" s="19">
        <v>0</v>
      </c>
      <c r="N171" s="18">
        <v>0</v>
      </c>
      <c r="T171" s="4"/>
      <c r="U171" s="4"/>
      <c r="V171" s="10"/>
      <c r="W171" s="15"/>
      <c r="X171" s="16"/>
      <c r="Y171" s="16"/>
      <c r="Z171" s="15"/>
      <c r="AA171" s="17"/>
      <c r="AD171" s="20" t="str">
        <f>IF((B171="")+(B171="Vacante")+(D171=""),"",IFERROR(MATCH(D171,{"Oficinas";"Locales";"Estacionamientos";"Bodegas"},0),5)&amp;"|"&amp;B171&amp;"|"&amp;TEXT(G171,"yyyymmdd")&amp;"|"&amp;TEXT(H171,"yyyymmdd"))</f>
        <v/>
      </c>
      <c r="AE171" s="4"/>
      <c r="AF171" s="4"/>
    </row>
    <row r="172" spans="1:32" x14ac:dyDescent="0.2">
      <c r="A172" s="5">
        <v>-6</v>
      </c>
      <c r="B172" s="6" t="s">
        <v>4</v>
      </c>
      <c r="C172" s="6" t="s">
        <v>4</v>
      </c>
      <c r="D172" s="6" t="s">
        <v>10</v>
      </c>
      <c r="E172" s="5">
        <v>6026</v>
      </c>
      <c r="F172" s="6" t="s">
        <v>104</v>
      </c>
      <c r="G172" s="9" t="s">
        <v>9</v>
      </c>
      <c r="H172" s="9" t="s">
        <v>9</v>
      </c>
      <c r="I172" s="6" t="s">
        <v>2</v>
      </c>
      <c r="L172" s="18">
        <v>1</v>
      </c>
      <c r="M172" s="19">
        <v>0</v>
      </c>
      <c r="N172" s="18">
        <v>0</v>
      </c>
      <c r="T172" s="4"/>
      <c r="U172" s="4"/>
      <c r="V172" s="10"/>
      <c r="W172" s="15"/>
      <c r="X172" s="16"/>
      <c r="Y172" s="16"/>
      <c r="Z172" s="15"/>
      <c r="AA172" s="17"/>
      <c r="AD172" s="20" t="str">
        <f>IF((B172="")+(B172="Vacante")+(D172=""),"",IFERROR(MATCH(D172,{"Oficinas";"Locales";"Estacionamientos";"Bodegas"},0),5)&amp;"|"&amp;B172&amp;"|"&amp;TEXT(G172,"yyyymmdd")&amp;"|"&amp;TEXT(H172,"yyyymmdd"))</f>
        <v/>
      </c>
      <c r="AE172" s="4"/>
      <c r="AF172" s="4"/>
    </row>
    <row r="173" spans="1:32" x14ac:dyDescent="0.2">
      <c r="A173" s="5">
        <v>-6</v>
      </c>
      <c r="B173" s="6" t="s">
        <v>184</v>
      </c>
      <c r="C173" s="6" t="s">
        <v>36</v>
      </c>
      <c r="D173" s="6" t="s">
        <v>10</v>
      </c>
      <c r="E173" s="5">
        <v>6027</v>
      </c>
      <c r="F173" s="6" t="s">
        <v>104</v>
      </c>
      <c r="G173" s="9" t="s">
        <v>9</v>
      </c>
      <c r="H173" s="9">
        <v>46222</v>
      </c>
      <c r="I173" s="6" t="s">
        <v>2</v>
      </c>
      <c r="L173" s="18">
        <v>1</v>
      </c>
      <c r="M173" s="19">
        <v>3.5</v>
      </c>
      <c r="N173" s="18">
        <v>3.5</v>
      </c>
      <c r="T173" s="4"/>
      <c r="U173" s="4"/>
      <c r="V173" s="10"/>
      <c r="W173" s="15"/>
      <c r="X173" s="16"/>
      <c r="Y173" s="16"/>
      <c r="Z173" s="15"/>
      <c r="AA173" s="17"/>
      <c r="AD173" s="20" t="str">
        <f>IF((B173="")+(B173="Vacante")+(D173=""),"",IFERROR(MATCH(D173,{"Oficinas";"Locales";"Estacionamientos";"Bodegas"},0),5)&amp;"|"&amp;B173&amp;"|"&amp;TEXT(G173,"yyyymmdd")&amp;"|"&amp;TEXT(H173,"yyyymmdd"))</f>
        <v>3|DEVON|-|20260719</v>
      </c>
      <c r="AE173" s="4"/>
      <c r="AF173" s="4"/>
    </row>
    <row r="174" spans="1:32" x14ac:dyDescent="0.2">
      <c r="A174" s="5">
        <v>-6</v>
      </c>
      <c r="B174" s="6" t="s">
        <v>179</v>
      </c>
      <c r="C174" s="6" t="s">
        <v>39</v>
      </c>
      <c r="D174" s="6" t="s">
        <v>10</v>
      </c>
      <c r="E174" s="5">
        <v>6028</v>
      </c>
      <c r="F174" s="6" t="s">
        <v>104</v>
      </c>
      <c r="G174" s="9" t="s">
        <v>9</v>
      </c>
      <c r="H174" s="9">
        <v>46701</v>
      </c>
      <c r="I174" s="6" t="s">
        <v>2</v>
      </c>
      <c r="L174" s="18">
        <v>1</v>
      </c>
      <c r="M174" s="19">
        <v>6</v>
      </c>
      <c r="N174" s="18">
        <v>6</v>
      </c>
      <c r="T174" s="4"/>
      <c r="U174" s="4"/>
      <c r="V174" s="10"/>
      <c r="W174" s="15"/>
      <c r="X174" s="16"/>
      <c r="Y174" s="16"/>
      <c r="Z174" s="15"/>
      <c r="AA174" s="17"/>
      <c r="AD174" s="20" t="str">
        <f>IF((B174="")+(B174="Vacante")+(D174=""),"",IFERROR(MATCH(D174,{"Oficinas";"Locales";"Estacionamientos";"Bodegas"},0),5)&amp;"|"&amp;B174&amp;"|"&amp;TEXT(G174,"yyyymmdd")&amp;"|"&amp;TEXT(H174,"yyyymmdd"))</f>
        <v>3|GLOBALFLEX|-|20271110</v>
      </c>
      <c r="AE174" s="4"/>
      <c r="AF174" s="4"/>
    </row>
    <row r="175" spans="1:32" x14ac:dyDescent="0.2">
      <c r="A175" s="5">
        <v>-6</v>
      </c>
      <c r="B175" s="6" t="s">
        <v>4</v>
      </c>
      <c r="C175" s="6" t="s">
        <v>4</v>
      </c>
      <c r="D175" s="6" t="s">
        <v>10</v>
      </c>
      <c r="E175" s="5">
        <v>6029</v>
      </c>
      <c r="F175" s="6" t="s">
        <v>104</v>
      </c>
      <c r="G175" s="9" t="s">
        <v>9</v>
      </c>
      <c r="H175" s="9" t="s">
        <v>9</v>
      </c>
      <c r="I175" s="6" t="s">
        <v>2</v>
      </c>
      <c r="L175" s="18">
        <v>1</v>
      </c>
      <c r="M175" s="19">
        <v>0</v>
      </c>
      <c r="N175" s="18">
        <v>0</v>
      </c>
      <c r="T175" s="4"/>
      <c r="U175" s="4"/>
      <c r="V175" s="10"/>
      <c r="W175" s="15"/>
      <c r="X175" s="16"/>
      <c r="Y175" s="16"/>
      <c r="Z175" s="15"/>
      <c r="AA175" s="17"/>
      <c r="AD175" s="20" t="str">
        <f>IF((B175="")+(B175="Vacante")+(D175=""),"",IFERROR(MATCH(D175,{"Oficinas";"Locales";"Estacionamientos";"Bodegas"},0),5)&amp;"|"&amp;B175&amp;"|"&amp;TEXT(G175,"yyyymmdd")&amp;"|"&amp;TEXT(H175,"yyyymmdd"))</f>
        <v/>
      </c>
      <c r="AE175" s="4"/>
      <c r="AF175" s="4"/>
    </row>
    <row r="176" spans="1:32" x14ac:dyDescent="0.2">
      <c r="A176" s="5">
        <v>-6</v>
      </c>
      <c r="B176" s="6" t="s">
        <v>185</v>
      </c>
      <c r="C176" s="6" t="s">
        <v>35</v>
      </c>
      <c r="D176" s="6" t="s">
        <v>10</v>
      </c>
      <c r="E176" s="5">
        <v>6030</v>
      </c>
      <c r="G176" s="9" t="s">
        <v>9</v>
      </c>
      <c r="H176" s="9">
        <v>47238</v>
      </c>
      <c r="I176" s="6" t="s">
        <v>2</v>
      </c>
      <c r="L176" s="18">
        <v>1</v>
      </c>
      <c r="M176" s="19">
        <v>4</v>
      </c>
      <c r="N176" s="18">
        <v>4</v>
      </c>
      <c r="T176" s="4"/>
      <c r="U176" s="4"/>
      <c r="V176" s="10"/>
      <c r="W176" s="15"/>
      <c r="X176" s="16"/>
      <c r="Y176" s="16"/>
      <c r="Z176" s="15"/>
      <c r="AA176" s="17"/>
      <c r="AD176" s="20" t="str">
        <f>IF((B176="")+(B176="Vacante")+(D176=""),"",IFERROR(MATCH(D176,{"Oficinas";"Locales";"Estacionamientos";"Bodegas"},0),5)&amp;"|"&amp;B176&amp;"|"&amp;TEXT(G176,"yyyymmdd")&amp;"|"&amp;TEXT(H176,"yyyymmdd"))</f>
        <v>3|BOEHRINGER |-|20290430</v>
      </c>
      <c r="AE176" s="4"/>
      <c r="AF176" s="4"/>
    </row>
    <row r="177" spans="1:32" x14ac:dyDescent="0.2">
      <c r="A177" s="5">
        <v>-6</v>
      </c>
      <c r="B177" s="6" t="s">
        <v>185</v>
      </c>
      <c r="C177" s="6" t="s">
        <v>35</v>
      </c>
      <c r="D177" s="6" t="s">
        <v>10</v>
      </c>
      <c r="E177" s="5">
        <v>6031</v>
      </c>
      <c r="G177" s="9" t="s">
        <v>9</v>
      </c>
      <c r="H177" s="9">
        <v>47238</v>
      </c>
      <c r="I177" s="6" t="s">
        <v>2</v>
      </c>
      <c r="L177" s="18">
        <v>1</v>
      </c>
      <c r="M177" s="19">
        <v>4</v>
      </c>
      <c r="N177" s="18">
        <v>4</v>
      </c>
      <c r="T177" s="4"/>
      <c r="U177" s="4"/>
      <c r="V177" s="10"/>
      <c r="W177" s="15"/>
      <c r="X177" s="16"/>
      <c r="Y177" s="16"/>
      <c r="Z177" s="15"/>
      <c r="AA177" s="17"/>
      <c r="AD177" s="20" t="str">
        <f>IF((B177="")+(B177="Vacante")+(D177=""),"",IFERROR(MATCH(D177,{"Oficinas";"Locales";"Estacionamientos";"Bodegas"},0),5)&amp;"|"&amp;B177&amp;"|"&amp;TEXT(G177,"yyyymmdd")&amp;"|"&amp;TEXT(H177,"yyyymmdd"))</f>
        <v>3|BOEHRINGER |-|20290430</v>
      </c>
      <c r="AE177" s="4"/>
      <c r="AF177" s="4"/>
    </row>
    <row r="178" spans="1:32" x14ac:dyDescent="0.2">
      <c r="A178" s="5">
        <v>-6</v>
      </c>
      <c r="B178" s="6" t="s">
        <v>203</v>
      </c>
      <c r="C178" s="6" t="s">
        <v>65</v>
      </c>
      <c r="D178" s="6" t="s">
        <v>10</v>
      </c>
      <c r="E178" s="5">
        <v>6032</v>
      </c>
      <c r="G178" s="9">
        <v>46284</v>
      </c>
      <c r="H178" s="9">
        <v>48201</v>
      </c>
      <c r="I178" s="6" t="s">
        <v>2</v>
      </c>
      <c r="L178" s="18">
        <v>1</v>
      </c>
      <c r="M178" s="19">
        <v>4.3</v>
      </c>
      <c r="N178" s="18">
        <v>4.3</v>
      </c>
      <c r="T178" s="4"/>
      <c r="U178" s="4"/>
      <c r="V178" s="10"/>
      <c r="W178" s="15"/>
      <c r="X178" s="16"/>
      <c r="Y178" s="16"/>
      <c r="Z178" s="15"/>
      <c r="AA178" s="17"/>
      <c r="AD178" s="20" t="str">
        <f>IF((B178="")+(B178="Vacante")+(D178=""),"",IFERROR(MATCH(D178,{"Oficinas";"Locales";"Estacionamientos";"Bodegas"},0),5)&amp;"|"&amp;B178&amp;"|"&amp;TEXT(G178,"yyyymmdd")&amp;"|"&amp;TEXT(H178,"yyyymmdd"))</f>
        <v>3|BANCO SANTANDER|20260919|20311219</v>
      </c>
      <c r="AE178" s="4"/>
      <c r="AF178" s="4"/>
    </row>
    <row r="179" spans="1:32" x14ac:dyDescent="0.2">
      <c r="A179" s="5">
        <v>-6</v>
      </c>
      <c r="B179" s="6" t="s">
        <v>203</v>
      </c>
      <c r="C179" s="6" t="s">
        <v>65</v>
      </c>
      <c r="D179" s="6" t="s">
        <v>10</v>
      </c>
      <c r="E179" s="5">
        <v>6033</v>
      </c>
      <c r="G179" s="9">
        <v>46284</v>
      </c>
      <c r="H179" s="9">
        <v>48201</v>
      </c>
      <c r="I179" s="6" t="s">
        <v>2</v>
      </c>
      <c r="L179" s="18">
        <v>1</v>
      </c>
      <c r="M179" s="19">
        <v>4.3</v>
      </c>
      <c r="N179" s="18">
        <v>4.3</v>
      </c>
      <c r="T179" s="4"/>
      <c r="U179" s="4"/>
      <c r="V179" s="10"/>
      <c r="W179" s="15"/>
      <c r="X179" s="16"/>
      <c r="Y179" s="16"/>
      <c r="Z179" s="15"/>
      <c r="AA179" s="17"/>
      <c r="AD179" s="20" t="str">
        <f>IF((B179="")+(B179="Vacante")+(D179=""),"",IFERROR(MATCH(D179,{"Oficinas";"Locales";"Estacionamientos";"Bodegas"},0),5)&amp;"|"&amp;B179&amp;"|"&amp;TEXT(G179,"yyyymmdd")&amp;"|"&amp;TEXT(H179,"yyyymmdd"))</f>
        <v>3|BANCO SANTANDER|20260919|20311219</v>
      </c>
      <c r="AE179" s="4"/>
      <c r="AF179" s="4"/>
    </row>
    <row r="180" spans="1:32" x14ac:dyDescent="0.2">
      <c r="A180" s="5">
        <v>-6</v>
      </c>
      <c r="B180" s="6" t="s">
        <v>203</v>
      </c>
      <c r="C180" s="6" t="s">
        <v>65</v>
      </c>
      <c r="D180" s="6" t="s">
        <v>10</v>
      </c>
      <c r="E180" s="5">
        <v>6034</v>
      </c>
      <c r="G180" s="9">
        <v>46284</v>
      </c>
      <c r="H180" s="9">
        <v>48201</v>
      </c>
      <c r="I180" s="6" t="s">
        <v>2</v>
      </c>
      <c r="L180" s="18">
        <v>1</v>
      </c>
      <c r="M180" s="19">
        <v>4.3</v>
      </c>
      <c r="N180" s="18">
        <v>4.3</v>
      </c>
      <c r="T180" s="4"/>
      <c r="U180" s="4"/>
      <c r="V180" s="10"/>
      <c r="W180" s="15"/>
      <c r="X180" s="16"/>
      <c r="Y180" s="16"/>
      <c r="Z180" s="15"/>
      <c r="AA180" s="17"/>
      <c r="AD180" s="20" t="str">
        <f>IF((B180="")+(B180="Vacante")+(D180=""),"",IFERROR(MATCH(D180,{"Oficinas";"Locales";"Estacionamientos";"Bodegas"},0),5)&amp;"|"&amp;B180&amp;"|"&amp;TEXT(G180,"yyyymmdd")&amp;"|"&amp;TEXT(H180,"yyyymmdd"))</f>
        <v>3|BANCO SANTANDER|20260919|20311219</v>
      </c>
      <c r="AE180" s="4"/>
      <c r="AF180" s="4"/>
    </row>
    <row r="181" spans="1:32" x14ac:dyDescent="0.2">
      <c r="A181" s="5">
        <v>-6</v>
      </c>
      <c r="B181" s="6" t="s">
        <v>203</v>
      </c>
      <c r="C181" s="6" t="s">
        <v>65</v>
      </c>
      <c r="D181" s="6" t="s">
        <v>10</v>
      </c>
      <c r="E181" s="5">
        <v>6035</v>
      </c>
      <c r="G181" s="9">
        <v>46284</v>
      </c>
      <c r="H181" s="9">
        <v>48201</v>
      </c>
      <c r="I181" s="6" t="s">
        <v>2</v>
      </c>
      <c r="L181" s="18">
        <v>1</v>
      </c>
      <c r="M181" s="19">
        <v>4.3</v>
      </c>
      <c r="N181" s="18">
        <v>4.3</v>
      </c>
      <c r="T181" s="4"/>
      <c r="U181" s="4"/>
      <c r="V181" s="10"/>
      <c r="W181" s="15"/>
      <c r="X181" s="16"/>
      <c r="Y181" s="16"/>
      <c r="Z181" s="15"/>
      <c r="AA181" s="17"/>
      <c r="AD181" s="20" t="str">
        <f>IF((B181="")+(B181="Vacante")+(D181=""),"",IFERROR(MATCH(D181,{"Oficinas";"Locales";"Estacionamientos";"Bodegas"},0),5)&amp;"|"&amp;B181&amp;"|"&amp;TEXT(G181,"yyyymmdd")&amp;"|"&amp;TEXT(H181,"yyyymmdd"))</f>
        <v>3|BANCO SANTANDER|20260919|20311219</v>
      </c>
      <c r="AE181" s="4"/>
      <c r="AF181" s="4"/>
    </row>
    <row r="182" spans="1:32" x14ac:dyDescent="0.2">
      <c r="A182" s="5">
        <v>-6</v>
      </c>
      <c r="B182" s="6" t="s">
        <v>203</v>
      </c>
      <c r="C182" s="6" t="s">
        <v>65</v>
      </c>
      <c r="D182" s="6" t="s">
        <v>10</v>
      </c>
      <c r="E182" s="5">
        <v>6036</v>
      </c>
      <c r="G182" s="9">
        <v>46284</v>
      </c>
      <c r="H182" s="9">
        <v>48201</v>
      </c>
      <c r="I182" s="6" t="s">
        <v>2</v>
      </c>
      <c r="L182" s="18">
        <v>1</v>
      </c>
      <c r="M182" s="19">
        <v>4.3</v>
      </c>
      <c r="N182" s="18">
        <v>4.3</v>
      </c>
      <c r="T182" s="4"/>
      <c r="U182" s="4"/>
      <c r="V182" s="10"/>
      <c r="W182" s="15"/>
      <c r="X182" s="16"/>
      <c r="Y182" s="16"/>
      <c r="Z182" s="15"/>
      <c r="AA182" s="17"/>
      <c r="AD182" s="20" t="str">
        <f>IF((B182="")+(B182="Vacante")+(D182=""),"",IFERROR(MATCH(D182,{"Oficinas";"Locales";"Estacionamientos";"Bodegas"},0),5)&amp;"|"&amp;B182&amp;"|"&amp;TEXT(G182,"yyyymmdd")&amp;"|"&amp;TEXT(H182,"yyyymmdd"))</f>
        <v>3|BANCO SANTANDER|20260919|20311219</v>
      </c>
      <c r="AE182" s="4"/>
      <c r="AF182" s="4"/>
    </row>
    <row r="183" spans="1:32" x14ac:dyDescent="0.2">
      <c r="A183" s="5">
        <v>-6</v>
      </c>
      <c r="B183" s="6" t="s">
        <v>203</v>
      </c>
      <c r="C183" s="6" t="s">
        <v>65</v>
      </c>
      <c r="D183" s="6" t="s">
        <v>10</v>
      </c>
      <c r="E183" s="5">
        <v>6037</v>
      </c>
      <c r="G183" s="9">
        <v>46284</v>
      </c>
      <c r="H183" s="9">
        <v>48201</v>
      </c>
      <c r="I183" s="6" t="s">
        <v>2</v>
      </c>
      <c r="L183" s="18">
        <v>1</v>
      </c>
      <c r="M183" s="19">
        <v>4.3</v>
      </c>
      <c r="N183" s="18">
        <v>4.3</v>
      </c>
      <c r="T183" s="4"/>
      <c r="U183" s="4"/>
      <c r="V183" s="10"/>
      <c r="W183" s="15"/>
      <c r="X183" s="16"/>
      <c r="Y183" s="16"/>
      <c r="Z183" s="15"/>
      <c r="AA183" s="17"/>
      <c r="AD183" s="20" t="str">
        <f>IF((B183="")+(B183="Vacante")+(D183=""),"",IFERROR(MATCH(D183,{"Oficinas";"Locales";"Estacionamientos";"Bodegas"},0),5)&amp;"|"&amp;B183&amp;"|"&amp;TEXT(G183,"yyyymmdd")&amp;"|"&amp;TEXT(H183,"yyyymmdd"))</f>
        <v>3|BANCO SANTANDER|20260919|20311219</v>
      </c>
      <c r="AE183" s="4"/>
      <c r="AF183" s="4"/>
    </row>
    <row r="184" spans="1:32" x14ac:dyDescent="0.2">
      <c r="A184" s="5">
        <v>-6</v>
      </c>
      <c r="B184" s="6" t="s">
        <v>203</v>
      </c>
      <c r="C184" s="6" t="s">
        <v>65</v>
      </c>
      <c r="D184" s="6" t="s">
        <v>10</v>
      </c>
      <c r="E184" s="5">
        <v>6038</v>
      </c>
      <c r="G184" s="9">
        <v>46284</v>
      </c>
      <c r="H184" s="9">
        <v>48201</v>
      </c>
      <c r="I184" s="6" t="s">
        <v>2</v>
      </c>
      <c r="L184" s="18">
        <v>1</v>
      </c>
      <c r="M184" s="19">
        <v>4.3</v>
      </c>
      <c r="N184" s="18">
        <v>4.3</v>
      </c>
      <c r="T184" s="4"/>
      <c r="U184" s="4"/>
      <c r="V184" s="10"/>
      <c r="W184" s="15"/>
      <c r="X184" s="16"/>
      <c r="Y184" s="16"/>
      <c r="Z184" s="15"/>
      <c r="AA184" s="17"/>
      <c r="AD184" s="20" t="str">
        <f>IF((B184="")+(B184="Vacante")+(D184=""),"",IFERROR(MATCH(D184,{"Oficinas";"Locales";"Estacionamientos";"Bodegas"},0),5)&amp;"|"&amp;B184&amp;"|"&amp;TEXT(G184,"yyyymmdd")&amp;"|"&amp;TEXT(H184,"yyyymmdd"))</f>
        <v>3|BANCO SANTANDER|20260919|20311219</v>
      </c>
      <c r="AE184" s="4"/>
      <c r="AF184" s="4"/>
    </row>
    <row r="185" spans="1:32" x14ac:dyDescent="0.2">
      <c r="A185" s="5">
        <v>-6</v>
      </c>
      <c r="B185" s="6" t="s">
        <v>203</v>
      </c>
      <c r="C185" s="6" t="s">
        <v>65</v>
      </c>
      <c r="D185" s="6" t="s">
        <v>10</v>
      </c>
      <c r="E185" s="5">
        <v>6039</v>
      </c>
      <c r="G185" s="9">
        <v>46284</v>
      </c>
      <c r="H185" s="9">
        <v>48201</v>
      </c>
      <c r="I185" s="6" t="s">
        <v>2</v>
      </c>
      <c r="L185" s="18">
        <v>1</v>
      </c>
      <c r="M185" s="19">
        <v>4.3</v>
      </c>
      <c r="N185" s="18">
        <v>4.3</v>
      </c>
      <c r="T185" s="4"/>
      <c r="U185" s="4"/>
      <c r="V185" s="10"/>
      <c r="W185" s="15"/>
      <c r="X185" s="16"/>
      <c r="Y185" s="16"/>
      <c r="Z185" s="15"/>
      <c r="AA185" s="17"/>
      <c r="AD185" s="20" t="str">
        <f>IF((B185="")+(B185="Vacante")+(D185=""),"",IFERROR(MATCH(D185,{"Oficinas";"Locales";"Estacionamientos";"Bodegas"},0),5)&amp;"|"&amp;B185&amp;"|"&amp;TEXT(G185,"yyyymmdd")&amp;"|"&amp;TEXT(H185,"yyyymmdd"))</f>
        <v>3|BANCO SANTANDER|20260919|20311219</v>
      </c>
      <c r="AE185" s="4"/>
      <c r="AF185" s="4"/>
    </row>
    <row r="186" spans="1:32" x14ac:dyDescent="0.2">
      <c r="A186" s="5">
        <v>-6</v>
      </c>
      <c r="B186" s="6" t="s">
        <v>203</v>
      </c>
      <c r="C186" s="6" t="s">
        <v>65</v>
      </c>
      <c r="D186" s="6" t="s">
        <v>10</v>
      </c>
      <c r="E186" s="5">
        <v>6040</v>
      </c>
      <c r="G186" s="9">
        <v>46284</v>
      </c>
      <c r="H186" s="9">
        <v>48201</v>
      </c>
      <c r="I186" s="6" t="s">
        <v>2</v>
      </c>
      <c r="L186" s="18">
        <v>1</v>
      </c>
      <c r="M186" s="19">
        <v>4.3</v>
      </c>
      <c r="N186" s="18">
        <v>4.3</v>
      </c>
      <c r="T186" s="4"/>
      <c r="U186" s="4"/>
      <c r="V186" s="10"/>
      <c r="W186" s="15"/>
      <c r="X186" s="16"/>
      <c r="Y186" s="16"/>
      <c r="Z186" s="15"/>
      <c r="AA186" s="17"/>
      <c r="AD186" s="20" t="str">
        <f>IF((B186="")+(B186="Vacante")+(D186=""),"",IFERROR(MATCH(D186,{"Oficinas";"Locales";"Estacionamientos";"Bodegas"},0),5)&amp;"|"&amp;B186&amp;"|"&amp;TEXT(G186,"yyyymmdd")&amp;"|"&amp;TEXT(H186,"yyyymmdd"))</f>
        <v>3|BANCO SANTANDER|20260919|20311219</v>
      </c>
      <c r="AE186" s="4"/>
      <c r="AF186" s="4"/>
    </row>
    <row r="187" spans="1:32" x14ac:dyDescent="0.2">
      <c r="A187" s="5">
        <v>-6</v>
      </c>
      <c r="B187" s="6" t="s">
        <v>203</v>
      </c>
      <c r="C187" s="6" t="s">
        <v>65</v>
      </c>
      <c r="D187" s="6" t="s">
        <v>10</v>
      </c>
      <c r="E187" s="5">
        <v>6041</v>
      </c>
      <c r="G187" s="9">
        <v>46284</v>
      </c>
      <c r="H187" s="9">
        <v>48201</v>
      </c>
      <c r="I187" s="6" t="s">
        <v>2</v>
      </c>
      <c r="L187" s="18">
        <v>1</v>
      </c>
      <c r="M187" s="19">
        <v>4.3</v>
      </c>
      <c r="N187" s="18">
        <v>4.3</v>
      </c>
      <c r="T187" s="4"/>
      <c r="U187" s="4"/>
      <c r="V187" s="10"/>
      <c r="W187" s="15"/>
      <c r="X187" s="16"/>
      <c r="Y187" s="16"/>
      <c r="Z187" s="15"/>
      <c r="AA187" s="17"/>
      <c r="AD187" s="20" t="str">
        <f>IF((B187="")+(B187="Vacante")+(D187=""),"",IFERROR(MATCH(D187,{"Oficinas";"Locales";"Estacionamientos";"Bodegas"},0),5)&amp;"|"&amp;B187&amp;"|"&amp;TEXT(G187,"yyyymmdd")&amp;"|"&amp;TEXT(H187,"yyyymmdd"))</f>
        <v>3|BANCO SANTANDER|20260919|20311219</v>
      </c>
      <c r="AE187" s="4"/>
      <c r="AF187" s="4"/>
    </row>
    <row r="188" spans="1:32" x14ac:dyDescent="0.2">
      <c r="A188" s="5">
        <v>-6</v>
      </c>
      <c r="B188" s="6" t="s">
        <v>203</v>
      </c>
      <c r="C188" s="6" t="s">
        <v>65</v>
      </c>
      <c r="D188" s="6" t="s">
        <v>10</v>
      </c>
      <c r="E188" s="5">
        <v>6042</v>
      </c>
      <c r="G188" s="9">
        <v>46284</v>
      </c>
      <c r="H188" s="9">
        <v>48201</v>
      </c>
      <c r="I188" s="6" t="s">
        <v>2</v>
      </c>
      <c r="L188" s="18">
        <v>1</v>
      </c>
      <c r="M188" s="19">
        <v>4.3</v>
      </c>
      <c r="N188" s="18">
        <v>4.3</v>
      </c>
      <c r="T188" s="4"/>
      <c r="U188" s="4"/>
      <c r="V188" s="10"/>
      <c r="W188" s="15"/>
      <c r="X188" s="16"/>
      <c r="Y188" s="16"/>
      <c r="Z188" s="15"/>
      <c r="AA188" s="17"/>
      <c r="AD188" s="20" t="str">
        <f>IF((B188="")+(B188="Vacante")+(D188=""),"",IFERROR(MATCH(D188,{"Oficinas";"Locales";"Estacionamientos";"Bodegas"},0),5)&amp;"|"&amp;B188&amp;"|"&amp;TEXT(G188,"yyyymmdd")&amp;"|"&amp;TEXT(H188,"yyyymmdd"))</f>
        <v>3|BANCO SANTANDER|20260919|20311219</v>
      </c>
      <c r="AE188" s="4"/>
      <c r="AF188" s="4"/>
    </row>
    <row r="189" spans="1:32" x14ac:dyDescent="0.2">
      <c r="A189" s="5">
        <v>-6</v>
      </c>
      <c r="B189" s="6" t="s">
        <v>203</v>
      </c>
      <c r="C189" s="6" t="s">
        <v>65</v>
      </c>
      <c r="D189" s="6" t="s">
        <v>10</v>
      </c>
      <c r="E189" s="5">
        <v>6043</v>
      </c>
      <c r="G189" s="9">
        <v>46284</v>
      </c>
      <c r="H189" s="9">
        <v>48201</v>
      </c>
      <c r="I189" s="6" t="s">
        <v>2</v>
      </c>
      <c r="L189" s="18">
        <v>1</v>
      </c>
      <c r="M189" s="19">
        <v>4.3</v>
      </c>
      <c r="N189" s="18">
        <v>4.3</v>
      </c>
      <c r="T189" s="4"/>
      <c r="U189" s="4"/>
      <c r="V189" s="10"/>
      <c r="W189" s="15"/>
      <c r="X189" s="16"/>
      <c r="Y189" s="16"/>
      <c r="Z189" s="15"/>
      <c r="AA189" s="17"/>
      <c r="AD189" s="20" t="str">
        <f>IF((B189="")+(B189="Vacante")+(D189=""),"",IFERROR(MATCH(D189,{"Oficinas";"Locales";"Estacionamientos";"Bodegas"},0),5)&amp;"|"&amp;B189&amp;"|"&amp;TEXT(G189,"yyyymmdd")&amp;"|"&amp;TEXT(H189,"yyyymmdd"))</f>
        <v>3|BANCO SANTANDER|20260919|20311219</v>
      </c>
      <c r="AE189" s="4"/>
      <c r="AF189" s="4"/>
    </row>
    <row r="190" spans="1:32" x14ac:dyDescent="0.2">
      <c r="A190" s="5">
        <v>-6</v>
      </c>
      <c r="B190" s="6" t="s">
        <v>203</v>
      </c>
      <c r="C190" s="6" t="s">
        <v>65</v>
      </c>
      <c r="D190" s="6" t="s">
        <v>10</v>
      </c>
      <c r="E190" s="5">
        <v>6044</v>
      </c>
      <c r="G190" s="9">
        <v>46284</v>
      </c>
      <c r="H190" s="9">
        <v>48201</v>
      </c>
      <c r="I190" s="6" t="s">
        <v>2</v>
      </c>
      <c r="L190" s="18">
        <v>1</v>
      </c>
      <c r="M190" s="19">
        <v>4.3</v>
      </c>
      <c r="N190" s="18">
        <v>4.3</v>
      </c>
      <c r="T190" s="4"/>
      <c r="U190" s="4"/>
      <c r="V190" s="10"/>
      <c r="W190" s="15"/>
      <c r="X190" s="16"/>
      <c r="Y190" s="16"/>
      <c r="Z190" s="15"/>
      <c r="AA190" s="17"/>
      <c r="AD190" s="20" t="str">
        <f>IF((B190="")+(B190="Vacante")+(D190=""),"",IFERROR(MATCH(D190,{"Oficinas";"Locales";"Estacionamientos";"Bodegas"},0),5)&amp;"|"&amp;B190&amp;"|"&amp;TEXT(G190,"yyyymmdd")&amp;"|"&amp;TEXT(H190,"yyyymmdd"))</f>
        <v>3|BANCO SANTANDER|20260919|20311219</v>
      </c>
      <c r="AE190" s="4"/>
      <c r="AF190" s="4"/>
    </row>
    <row r="191" spans="1:32" x14ac:dyDescent="0.2">
      <c r="A191" s="5">
        <v>-6</v>
      </c>
      <c r="B191" s="6" t="s">
        <v>203</v>
      </c>
      <c r="C191" s="6" t="s">
        <v>65</v>
      </c>
      <c r="D191" s="6" t="s">
        <v>10</v>
      </c>
      <c r="E191" s="5">
        <v>6045</v>
      </c>
      <c r="G191" s="9">
        <v>46284</v>
      </c>
      <c r="H191" s="9">
        <v>48201</v>
      </c>
      <c r="I191" s="6" t="s">
        <v>2</v>
      </c>
      <c r="L191" s="18">
        <v>1</v>
      </c>
      <c r="M191" s="19">
        <v>4.3</v>
      </c>
      <c r="N191" s="18">
        <v>4.3</v>
      </c>
      <c r="T191" s="4"/>
      <c r="U191" s="4"/>
      <c r="V191" s="10"/>
      <c r="W191" s="15"/>
      <c r="X191" s="16"/>
      <c r="Y191" s="16"/>
      <c r="Z191" s="15"/>
      <c r="AA191" s="17"/>
      <c r="AD191" s="20" t="str">
        <f>IF((B191="")+(B191="Vacante")+(D191=""),"",IFERROR(MATCH(D191,{"Oficinas";"Locales";"Estacionamientos";"Bodegas"},0),5)&amp;"|"&amp;B191&amp;"|"&amp;TEXT(G191,"yyyymmdd")&amp;"|"&amp;TEXT(H191,"yyyymmdd"))</f>
        <v>3|BANCO SANTANDER|20260919|20311219</v>
      </c>
      <c r="AE191" s="4"/>
      <c r="AF191" s="4"/>
    </row>
    <row r="192" spans="1:32" x14ac:dyDescent="0.2">
      <c r="A192" s="5">
        <v>-6</v>
      </c>
      <c r="B192" s="6" t="s">
        <v>203</v>
      </c>
      <c r="C192" s="6" t="s">
        <v>65</v>
      </c>
      <c r="D192" s="6" t="s">
        <v>10</v>
      </c>
      <c r="E192" s="5">
        <v>6046</v>
      </c>
      <c r="G192" s="9">
        <v>46284</v>
      </c>
      <c r="H192" s="9">
        <v>48201</v>
      </c>
      <c r="I192" s="6" t="s">
        <v>2</v>
      </c>
      <c r="L192" s="18">
        <v>1</v>
      </c>
      <c r="M192" s="19">
        <v>4.3</v>
      </c>
      <c r="N192" s="18">
        <v>4.3</v>
      </c>
      <c r="T192" s="4"/>
      <c r="U192" s="4"/>
      <c r="V192" s="10"/>
      <c r="W192" s="15"/>
      <c r="X192" s="16"/>
      <c r="Y192" s="16"/>
      <c r="Z192" s="15"/>
      <c r="AA192" s="17"/>
      <c r="AD192" s="20" t="str">
        <f>IF((B192="")+(B192="Vacante")+(D192=""),"",IFERROR(MATCH(D192,{"Oficinas";"Locales";"Estacionamientos";"Bodegas"},0),5)&amp;"|"&amp;B192&amp;"|"&amp;TEXT(G192,"yyyymmdd")&amp;"|"&amp;TEXT(H192,"yyyymmdd"))</f>
        <v>3|BANCO SANTANDER|20260919|20311219</v>
      </c>
      <c r="AE192" s="4"/>
      <c r="AF192" s="4"/>
    </row>
    <row r="193" spans="1:32" x14ac:dyDescent="0.2">
      <c r="A193" s="5">
        <v>-6</v>
      </c>
      <c r="B193" s="6" t="s">
        <v>203</v>
      </c>
      <c r="C193" s="6" t="s">
        <v>65</v>
      </c>
      <c r="D193" s="6" t="s">
        <v>10</v>
      </c>
      <c r="E193" s="5">
        <v>6047</v>
      </c>
      <c r="G193" s="9">
        <v>46284</v>
      </c>
      <c r="H193" s="9">
        <v>48201</v>
      </c>
      <c r="I193" s="6" t="s">
        <v>2</v>
      </c>
      <c r="L193" s="18">
        <v>1</v>
      </c>
      <c r="M193" s="19">
        <v>4.3</v>
      </c>
      <c r="N193" s="18">
        <v>4.3</v>
      </c>
      <c r="T193" s="4"/>
      <c r="U193" s="4"/>
      <c r="V193" s="10"/>
      <c r="W193" s="15"/>
      <c r="X193" s="16"/>
      <c r="Y193" s="16"/>
      <c r="Z193" s="15"/>
      <c r="AA193" s="17"/>
      <c r="AD193" s="20" t="str">
        <f>IF((B193="")+(B193="Vacante")+(D193=""),"",IFERROR(MATCH(D193,{"Oficinas";"Locales";"Estacionamientos";"Bodegas"},0),5)&amp;"|"&amp;B193&amp;"|"&amp;TEXT(G193,"yyyymmdd")&amp;"|"&amp;TEXT(H193,"yyyymmdd"))</f>
        <v>3|BANCO SANTANDER|20260919|20311219</v>
      </c>
      <c r="AE193" s="4"/>
      <c r="AF193" s="4"/>
    </row>
    <row r="194" spans="1:32" x14ac:dyDescent="0.2">
      <c r="A194" s="5">
        <v>-6</v>
      </c>
      <c r="B194" s="6" t="s">
        <v>203</v>
      </c>
      <c r="C194" s="6" t="s">
        <v>65</v>
      </c>
      <c r="D194" s="6" t="s">
        <v>10</v>
      </c>
      <c r="E194" s="5">
        <v>6048</v>
      </c>
      <c r="G194" s="9">
        <v>46284</v>
      </c>
      <c r="H194" s="9">
        <v>48201</v>
      </c>
      <c r="I194" s="6" t="s">
        <v>2</v>
      </c>
      <c r="L194" s="18">
        <v>1</v>
      </c>
      <c r="M194" s="19">
        <v>4.3</v>
      </c>
      <c r="N194" s="18">
        <v>4.3</v>
      </c>
      <c r="T194" s="4"/>
      <c r="U194" s="4"/>
      <c r="V194" s="10"/>
      <c r="W194" s="15"/>
      <c r="X194" s="16"/>
      <c r="Y194" s="16"/>
      <c r="Z194" s="15"/>
      <c r="AA194" s="17"/>
      <c r="AD194" s="20" t="str">
        <f>IF((B194="")+(B194="Vacante")+(D194=""),"",IFERROR(MATCH(D194,{"Oficinas";"Locales";"Estacionamientos";"Bodegas"},0),5)&amp;"|"&amp;B194&amp;"|"&amp;TEXT(G194,"yyyymmdd")&amp;"|"&amp;TEXT(H194,"yyyymmdd"))</f>
        <v>3|BANCO SANTANDER|20260919|20311219</v>
      </c>
      <c r="AE194" s="4"/>
      <c r="AF194" s="4"/>
    </row>
    <row r="195" spans="1:32" x14ac:dyDescent="0.2">
      <c r="A195" s="5">
        <v>-6</v>
      </c>
      <c r="B195" s="6" t="s">
        <v>203</v>
      </c>
      <c r="C195" s="6" t="s">
        <v>65</v>
      </c>
      <c r="D195" s="6" t="s">
        <v>10</v>
      </c>
      <c r="E195" s="5">
        <v>6049</v>
      </c>
      <c r="G195" s="9">
        <v>46284</v>
      </c>
      <c r="H195" s="9">
        <v>48201</v>
      </c>
      <c r="I195" s="6" t="s">
        <v>2</v>
      </c>
      <c r="L195" s="18">
        <v>1</v>
      </c>
      <c r="M195" s="19">
        <v>4.3</v>
      </c>
      <c r="N195" s="18">
        <v>4.3</v>
      </c>
      <c r="T195" s="4"/>
      <c r="U195" s="4"/>
      <c r="V195" s="10"/>
      <c r="W195" s="15"/>
      <c r="X195" s="16"/>
      <c r="Y195" s="16"/>
      <c r="Z195" s="15"/>
      <c r="AA195" s="17"/>
      <c r="AD195" s="20" t="str">
        <f>IF((B195="")+(B195="Vacante")+(D195=""),"",IFERROR(MATCH(D195,{"Oficinas";"Locales";"Estacionamientos";"Bodegas"},0),5)&amp;"|"&amp;B195&amp;"|"&amp;TEXT(G195,"yyyymmdd")&amp;"|"&amp;TEXT(H195,"yyyymmdd"))</f>
        <v>3|BANCO SANTANDER|20260919|20311219</v>
      </c>
      <c r="AE195" s="4"/>
      <c r="AF195" s="4"/>
    </row>
    <row r="196" spans="1:32" x14ac:dyDescent="0.2">
      <c r="A196" s="5">
        <v>-6</v>
      </c>
      <c r="B196" s="6" t="s">
        <v>203</v>
      </c>
      <c r="C196" s="6" t="s">
        <v>65</v>
      </c>
      <c r="D196" s="6" t="s">
        <v>10</v>
      </c>
      <c r="E196" s="5">
        <v>6050</v>
      </c>
      <c r="G196" s="9">
        <v>46284</v>
      </c>
      <c r="H196" s="9">
        <v>48201</v>
      </c>
      <c r="I196" s="6" t="s">
        <v>2</v>
      </c>
      <c r="L196" s="18">
        <v>1</v>
      </c>
      <c r="M196" s="19">
        <v>4.3</v>
      </c>
      <c r="N196" s="18">
        <v>4.3</v>
      </c>
      <c r="T196" s="4"/>
      <c r="U196" s="4"/>
      <c r="V196" s="4"/>
      <c r="W196" s="4"/>
      <c r="X196" s="4"/>
      <c r="Y196" s="4"/>
      <c r="Z196" s="4"/>
      <c r="AA196" s="4"/>
      <c r="AD196" s="20" t="str">
        <f>IF((B196="")+(B196="Vacante")+(D196=""),"",IFERROR(MATCH(D196,{"Oficinas";"Locales";"Estacionamientos";"Bodegas"},0),5)&amp;"|"&amp;B196&amp;"|"&amp;TEXT(G196,"yyyymmdd")&amp;"|"&amp;TEXT(H196,"yyyymmdd"))</f>
        <v>3|BANCO SANTANDER|20260919|20311219</v>
      </c>
      <c r="AE196" s="4"/>
      <c r="AF196" s="4"/>
    </row>
    <row r="197" spans="1:32" x14ac:dyDescent="0.2">
      <c r="A197" s="5">
        <v>-6</v>
      </c>
      <c r="B197" s="6" t="s">
        <v>203</v>
      </c>
      <c r="C197" s="6" t="s">
        <v>65</v>
      </c>
      <c r="D197" s="6" t="s">
        <v>10</v>
      </c>
      <c r="E197" s="5">
        <v>6051</v>
      </c>
      <c r="G197" s="9">
        <v>46284</v>
      </c>
      <c r="H197" s="9">
        <v>48201</v>
      </c>
      <c r="I197" s="6" t="s">
        <v>2</v>
      </c>
      <c r="L197" s="18">
        <v>1</v>
      </c>
      <c r="M197" s="19">
        <v>4.3</v>
      </c>
      <c r="N197" s="18">
        <v>4.3</v>
      </c>
      <c r="T197" s="4"/>
      <c r="U197" s="4"/>
      <c r="V197" s="4"/>
      <c r="W197" s="4"/>
      <c r="X197" s="4"/>
      <c r="Y197" s="4"/>
      <c r="Z197" s="4"/>
      <c r="AA197" s="4"/>
      <c r="AD197" s="20" t="str">
        <f>IF((B197="")+(B197="Vacante")+(D197=""),"",IFERROR(MATCH(D197,{"Oficinas";"Locales";"Estacionamientos";"Bodegas"},0),5)&amp;"|"&amp;B197&amp;"|"&amp;TEXT(G197,"yyyymmdd")&amp;"|"&amp;TEXT(H197,"yyyymmdd"))</f>
        <v>3|BANCO SANTANDER|20260919|20311219</v>
      </c>
      <c r="AE197" s="4"/>
      <c r="AF197" s="4"/>
    </row>
    <row r="198" spans="1:32" x14ac:dyDescent="0.2">
      <c r="A198" s="5">
        <v>-6</v>
      </c>
      <c r="B198" s="6" t="s">
        <v>185</v>
      </c>
      <c r="C198" s="6" t="s">
        <v>35</v>
      </c>
      <c r="D198" s="6" t="s">
        <v>10</v>
      </c>
      <c r="E198" s="5">
        <v>6052</v>
      </c>
      <c r="F198" s="6" t="s">
        <v>113</v>
      </c>
      <c r="G198" s="9" t="s">
        <v>9</v>
      </c>
      <c r="H198" s="9">
        <v>47238</v>
      </c>
      <c r="I198" s="6" t="s">
        <v>2</v>
      </c>
      <c r="L198" s="18">
        <v>1</v>
      </c>
      <c r="M198" s="19">
        <v>4</v>
      </c>
      <c r="N198" s="18">
        <v>4</v>
      </c>
      <c r="T198" s="4"/>
      <c r="U198" s="4"/>
      <c r="V198" s="4"/>
      <c r="W198" s="4"/>
      <c r="X198" s="4"/>
      <c r="Y198" s="4"/>
      <c r="Z198" s="4"/>
      <c r="AA198" s="4"/>
      <c r="AD198" s="20" t="str">
        <f>IF((B198="")+(B198="Vacante")+(D198=""),"",IFERROR(MATCH(D198,{"Oficinas";"Locales";"Estacionamientos";"Bodegas"},0),5)&amp;"|"&amp;B198&amp;"|"&amp;TEXT(G198,"yyyymmdd")&amp;"|"&amp;TEXT(H198,"yyyymmdd"))</f>
        <v>3|BOEHRINGER |-|20290430</v>
      </c>
      <c r="AE198" s="4"/>
      <c r="AF198" s="4"/>
    </row>
    <row r="199" spans="1:32" x14ac:dyDescent="0.2">
      <c r="A199" s="5">
        <v>-6</v>
      </c>
      <c r="B199" s="6" t="s">
        <v>189</v>
      </c>
      <c r="C199" s="6" t="s">
        <v>32</v>
      </c>
      <c r="D199" s="6" t="s">
        <v>10</v>
      </c>
      <c r="E199" s="5">
        <v>6053</v>
      </c>
      <c r="F199" s="6" t="s">
        <v>114</v>
      </c>
      <c r="G199" s="9" t="s">
        <v>9</v>
      </c>
      <c r="H199" s="9">
        <v>46387</v>
      </c>
      <c r="I199" s="6" t="s">
        <v>2</v>
      </c>
      <c r="L199" s="18">
        <v>1</v>
      </c>
      <c r="M199" s="19">
        <v>4</v>
      </c>
      <c r="N199" s="18">
        <v>4</v>
      </c>
      <c r="T199" s="4"/>
      <c r="U199" s="4"/>
      <c r="V199" s="4"/>
      <c r="W199" s="4"/>
      <c r="X199" s="4"/>
      <c r="Y199" s="4"/>
      <c r="Z199" s="4"/>
      <c r="AA199" s="4"/>
      <c r="AD199" s="20" t="str">
        <f>IF((B199="")+(B199="Vacante")+(D199=""),"",IFERROR(MATCH(D199,{"Oficinas";"Locales";"Estacionamientos";"Bodegas"},0),5)&amp;"|"&amp;B199&amp;"|"&amp;TEXT(G199,"yyyymmdd")&amp;"|"&amp;TEXT(H199,"yyyymmdd"))</f>
        <v>3|SUMITOMO|-|20261231</v>
      </c>
      <c r="AE199" s="4"/>
      <c r="AF199" s="4"/>
    </row>
    <row r="200" spans="1:32" x14ac:dyDescent="0.2">
      <c r="A200" s="5">
        <v>-6</v>
      </c>
      <c r="B200" s="6" t="s">
        <v>185</v>
      </c>
      <c r="C200" s="6" t="s">
        <v>35</v>
      </c>
      <c r="D200" s="6" t="s">
        <v>10</v>
      </c>
      <c r="E200" s="5">
        <v>6054</v>
      </c>
      <c r="F200" s="6" t="s">
        <v>115</v>
      </c>
      <c r="G200" s="9" t="s">
        <v>9</v>
      </c>
      <c r="H200" s="9">
        <v>47238</v>
      </c>
      <c r="I200" s="6" t="s">
        <v>2</v>
      </c>
      <c r="L200" s="18">
        <v>1</v>
      </c>
      <c r="M200" s="19">
        <v>4</v>
      </c>
      <c r="N200" s="18">
        <v>4</v>
      </c>
      <c r="T200" s="4"/>
      <c r="U200" s="4"/>
      <c r="V200" s="4"/>
      <c r="W200" s="4"/>
      <c r="X200" s="4"/>
      <c r="Y200" s="4"/>
      <c r="Z200" s="4"/>
      <c r="AA200" s="4"/>
      <c r="AD200" s="20" t="str">
        <f>IF((B200="")+(B200="Vacante")+(D200=""),"",IFERROR(MATCH(D200,{"Oficinas";"Locales";"Estacionamientos";"Bodegas"},0),5)&amp;"|"&amp;B200&amp;"|"&amp;TEXT(G200,"yyyymmdd")&amp;"|"&amp;TEXT(H200,"yyyymmdd"))</f>
        <v>3|BOEHRINGER |-|20290430</v>
      </c>
      <c r="AE200" s="4"/>
      <c r="AF200" s="4"/>
    </row>
    <row r="201" spans="1:32" x14ac:dyDescent="0.2">
      <c r="A201" s="5">
        <v>-6</v>
      </c>
      <c r="B201" s="6" t="s">
        <v>185</v>
      </c>
      <c r="C201" s="6" t="s">
        <v>35</v>
      </c>
      <c r="D201" s="6" t="s">
        <v>10</v>
      </c>
      <c r="E201" s="5">
        <v>6055</v>
      </c>
      <c r="G201" s="9" t="s">
        <v>9</v>
      </c>
      <c r="H201" s="9">
        <v>47238</v>
      </c>
      <c r="I201" s="6" t="s">
        <v>2</v>
      </c>
      <c r="L201" s="18">
        <v>1</v>
      </c>
      <c r="M201" s="19">
        <v>4.5</v>
      </c>
      <c r="N201" s="18">
        <v>4.5</v>
      </c>
      <c r="T201" s="4"/>
      <c r="U201" s="4"/>
      <c r="V201" s="4"/>
      <c r="W201" s="4"/>
      <c r="X201" s="4"/>
      <c r="Y201" s="4"/>
      <c r="Z201" s="4"/>
      <c r="AA201" s="4"/>
      <c r="AD201" s="20" t="str">
        <f>IF((B201="")+(B201="Vacante")+(D201=""),"",IFERROR(MATCH(D201,{"Oficinas";"Locales";"Estacionamientos";"Bodegas"},0),5)&amp;"|"&amp;B201&amp;"|"&amp;TEXT(G201,"yyyymmdd")&amp;"|"&amp;TEXT(H201,"yyyymmdd"))</f>
        <v>3|BOEHRINGER |-|20290430</v>
      </c>
      <c r="AE201" s="4"/>
      <c r="AF201" s="4"/>
    </row>
    <row r="202" spans="1:32" x14ac:dyDescent="0.2">
      <c r="A202" s="5">
        <v>-6</v>
      </c>
      <c r="B202" s="6" t="s">
        <v>188</v>
      </c>
      <c r="C202" s="6" t="s">
        <v>31</v>
      </c>
      <c r="D202" s="6" t="s">
        <v>10</v>
      </c>
      <c r="E202" s="5">
        <v>6056</v>
      </c>
      <c r="F202" s="6" t="s">
        <v>116</v>
      </c>
      <c r="G202" s="9">
        <v>46112</v>
      </c>
      <c r="H202" s="9">
        <v>46843</v>
      </c>
      <c r="I202" s="6" t="s">
        <v>2</v>
      </c>
      <c r="L202" s="18">
        <v>1</v>
      </c>
      <c r="M202" s="19">
        <v>4.3</v>
      </c>
      <c r="N202" s="18">
        <v>4.3</v>
      </c>
      <c r="T202" s="4"/>
      <c r="U202" s="4"/>
      <c r="V202" s="4"/>
      <c r="W202" s="4"/>
      <c r="X202" s="4"/>
      <c r="Y202" s="4"/>
      <c r="Z202" s="4"/>
      <c r="AA202" s="4"/>
      <c r="AD202" s="20" t="str">
        <f>IF((B202="")+(B202="Vacante")+(D202=""),"",IFERROR(MATCH(D202,{"Oficinas";"Locales";"Estacionamientos";"Bodegas"},0),5)&amp;"|"&amp;B202&amp;"|"&amp;TEXT(G202,"yyyymmdd")&amp;"|"&amp;TEXT(H202,"yyyymmdd"))</f>
        <v>3|AMLV GRUPO|20260331|20280331</v>
      </c>
      <c r="AE202" s="4"/>
      <c r="AF202" s="4"/>
    </row>
    <row r="203" spans="1:32" x14ac:dyDescent="0.2">
      <c r="A203" s="5">
        <v>-6</v>
      </c>
      <c r="B203" s="6" t="s">
        <v>188</v>
      </c>
      <c r="C203" s="6" t="s">
        <v>31</v>
      </c>
      <c r="D203" s="6" t="s">
        <v>10</v>
      </c>
      <c r="E203" s="5">
        <v>6057</v>
      </c>
      <c r="F203" s="6" t="s">
        <v>117</v>
      </c>
      <c r="G203" s="9">
        <v>46112</v>
      </c>
      <c r="H203" s="9">
        <v>46843</v>
      </c>
      <c r="I203" s="6" t="s">
        <v>2</v>
      </c>
      <c r="L203" s="18">
        <v>1</v>
      </c>
      <c r="M203" s="19">
        <v>4.3</v>
      </c>
      <c r="N203" s="18">
        <v>4.3</v>
      </c>
      <c r="T203" s="4"/>
      <c r="U203" s="4"/>
      <c r="V203" s="4"/>
      <c r="W203" s="4"/>
      <c r="X203" s="4"/>
      <c r="Y203" s="4"/>
      <c r="Z203" s="4"/>
      <c r="AA203" s="4"/>
      <c r="AD203" s="20" t="str">
        <f>IF((B203="")+(B203="Vacante")+(D203=""),"",IFERROR(MATCH(D203,{"Oficinas";"Locales";"Estacionamientos";"Bodegas"},0),5)&amp;"|"&amp;B203&amp;"|"&amp;TEXT(G203,"yyyymmdd")&amp;"|"&amp;TEXT(H203,"yyyymmdd"))</f>
        <v>3|AMLV GRUPO|20260331|20280331</v>
      </c>
      <c r="AE203" s="4"/>
      <c r="AF203" s="4"/>
    </row>
    <row r="204" spans="1:32" x14ac:dyDescent="0.2">
      <c r="A204" s="5">
        <v>-6</v>
      </c>
      <c r="B204" s="6" t="s">
        <v>188</v>
      </c>
      <c r="C204" s="6" t="s">
        <v>31</v>
      </c>
      <c r="D204" s="6" t="s">
        <v>10</v>
      </c>
      <c r="E204" s="5">
        <v>6058</v>
      </c>
      <c r="F204" s="6" t="s">
        <v>118</v>
      </c>
      <c r="G204" s="9">
        <v>46112</v>
      </c>
      <c r="H204" s="9">
        <v>46843</v>
      </c>
      <c r="I204" s="6" t="s">
        <v>2</v>
      </c>
      <c r="L204" s="18">
        <v>1</v>
      </c>
      <c r="M204" s="19">
        <v>4.3</v>
      </c>
      <c r="N204" s="18">
        <v>4.3</v>
      </c>
      <c r="T204" s="4"/>
      <c r="U204" s="4"/>
      <c r="V204" s="4"/>
      <c r="W204" s="4"/>
      <c r="X204" s="4"/>
      <c r="Y204" s="4"/>
      <c r="Z204" s="4"/>
      <c r="AA204" s="4"/>
      <c r="AD204" s="20" t="str">
        <f>IF((B204="")+(B204="Vacante")+(D204=""),"",IFERROR(MATCH(D204,{"Oficinas";"Locales";"Estacionamientos";"Bodegas"},0),5)&amp;"|"&amp;B204&amp;"|"&amp;TEXT(G204,"yyyymmdd")&amp;"|"&amp;TEXT(H204,"yyyymmdd"))</f>
        <v>3|AMLV GRUPO|20260331|20280331</v>
      </c>
      <c r="AE204" s="4"/>
      <c r="AF204" s="4"/>
    </row>
    <row r="205" spans="1:32" x14ac:dyDescent="0.2">
      <c r="A205" s="5">
        <v>-6</v>
      </c>
      <c r="B205" s="6" t="s">
        <v>188</v>
      </c>
      <c r="C205" s="6" t="s">
        <v>31</v>
      </c>
      <c r="D205" s="6" t="s">
        <v>10</v>
      </c>
      <c r="E205" s="5">
        <v>6059</v>
      </c>
      <c r="F205" s="6" t="s">
        <v>119</v>
      </c>
      <c r="G205" s="9">
        <v>46112</v>
      </c>
      <c r="H205" s="9">
        <v>46843</v>
      </c>
      <c r="I205" s="6" t="s">
        <v>2</v>
      </c>
      <c r="L205" s="18">
        <v>1</v>
      </c>
      <c r="M205" s="19">
        <v>4.3</v>
      </c>
      <c r="N205" s="18">
        <v>4.3</v>
      </c>
      <c r="T205" s="4"/>
      <c r="U205" s="4"/>
      <c r="V205" s="4"/>
      <c r="W205" s="4"/>
      <c r="X205" s="4"/>
      <c r="Y205" s="4"/>
      <c r="Z205" s="4"/>
      <c r="AA205" s="4"/>
      <c r="AD205" s="20" t="str">
        <f>IF((B205="")+(B205="Vacante")+(D205=""),"",IFERROR(MATCH(D205,{"Oficinas";"Locales";"Estacionamientos";"Bodegas"},0),5)&amp;"|"&amp;B205&amp;"|"&amp;TEXT(G205,"yyyymmdd")&amp;"|"&amp;TEXT(H205,"yyyymmdd"))</f>
        <v>3|AMLV GRUPO|20260331|20280331</v>
      </c>
      <c r="AE205" s="4"/>
      <c r="AF205" s="4"/>
    </row>
    <row r="206" spans="1:32" x14ac:dyDescent="0.2">
      <c r="A206" s="5">
        <v>-6</v>
      </c>
      <c r="B206" s="6" t="s">
        <v>185</v>
      </c>
      <c r="C206" s="6" t="s">
        <v>35</v>
      </c>
      <c r="D206" s="6" t="s">
        <v>10</v>
      </c>
      <c r="E206" s="5">
        <v>6060</v>
      </c>
      <c r="G206" s="9" t="s">
        <v>9</v>
      </c>
      <c r="H206" s="9">
        <v>47238</v>
      </c>
      <c r="I206" s="6" t="s">
        <v>2</v>
      </c>
      <c r="L206" s="18">
        <v>1</v>
      </c>
      <c r="M206" s="19">
        <v>4</v>
      </c>
      <c r="N206" s="18">
        <v>4</v>
      </c>
      <c r="T206" s="4"/>
      <c r="U206" s="4"/>
      <c r="V206" s="4"/>
      <c r="W206" s="4"/>
      <c r="X206" s="4"/>
      <c r="Y206" s="4"/>
      <c r="Z206" s="4"/>
      <c r="AA206" s="4"/>
      <c r="AD206" s="20" t="str">
        <f>IF((B206="")+(B206="Vacante")+(D206=""),"",IFERROR(MATCH(D206,{"Oficinas";"Locales";"Estacionamientos";"Bodegas"},0),5)&amp;"|"&amp;B206&amp;"|"&amp;TEXT(G206,"yyyymmdd")&amp;"|"&amp;TEXT(H206,"yyyymmdd"))</f>
        <v>3|BOEHRINGER |-|20290430</v>
      </c>
      <c r="AE206" s="4"/>
      <c r="AF206" s="4"/>
    </row>
    <row r="207" spans="1:32" x14ac:dyDescent="0.2">
      <c r="A207" s="5">
        <v>-6</v>
      </c>
      <c r="B207" s="6" t="s">
        <v>185</v>
      </c>
      <c r="C207" s="6" t="s">
        <v>35</v>
      </c>
      <c r="D207" s="6" t="s">
        <v>10</v>
      </c>
      <c r="E207" s="5">
        <v>6061</v>
      </c>
      <c r="G207" s="9" t="s">
        <v>9</v>
      </c>
      <c r="H207" s="9">
        <v>47238</v>
      </c>
      <c r="I207" s="6" t="s">
        <v>2</v>
      </c>
      <c r="L207" s="18">
        <v>1</v>
      </c>
      <c r="M207" s="19">
        <v>4</v>
      </c>
      <c r="N207" s="18">
        <v>4</v>
      </c>
      <c r="T207" s="4"/>
      <c r="U207" s="4"/>
      <c r="V207" s="4"/>
      <c r="W207" s="4"/>
      <c r="X207" s="4"/>
      <c r="Y207" s="4"/>
      <c r="Z207" s="4"/>
      <c r="AA207" s="4"/>
      <c r="AD207" s="20" t="str">
        <f>IF((B207="")+(B207="Vacante")+(D207=""),"",IFERROR(MATCH(D207,{"Oficinas";"Locales";"Estacionamientos";"Bodegas"},0),5)&amp;"|"&amp;B207&amp;"|"&amp;TEXT(G207,"yyyymmdd")&amp;"|"&amp;TEXT(H207,"yyyymmdd"))</f>
        <v>3|BOEHRINGER |-|20290430</v>
      </c>
      <c r="AE207" s="4"/>
      <c r="AF207" s="4"/>
    </row>
    <row r="208" spans="1:32" x14ac:dyDescent="0.2">
      <c r="A208" s="5">
        <v>-6</v>
      </c>
      <c r="B208" s="6" t="s">
        <v>181</v>
      </c>
      <c r="C208" s="6" t="s">
        <v>44</v>
      </c>
      <c r="D208" s="6" t="s">
        <v>10</v>
      </c>
      <c r="E208" s="5">
        <v>6075</v>
      </c>
      <c r="G208" s="9">
        <v>46457</v>
      </c>
      <c r="H208" s="9">
        <v>47187</v>
      </c>
      <c r="I208" s="6" t="s">
        <v>2</v>
      </c>
      <c r="L208" s="18">
        <v>1</v>
      </c>
      <c r="M208" s="19">
        <v>4.3</v>
      </c>
      <c r="N208" s="18">
        <v>4.3</v>
      </c>
      <c r="T208" s="4"/>
      <c r="U208" s="4"/>
      <c r="V208" s="4"/>
      <c r="W208" s="4"/>
      <c r="X208" s="4"/>
      <c r="Y208" s="4"/>
      <c r="Z208" s="4"/>
      <c r="AA208" s="4"/>
      <c r="AD208" s="20" t="str">
        <f>IF((B208="")+(B208="Vacante")+(D208=""),"",IFERROR(MATCH(D208,{"Oficinas";"Locales";"Estacionamientos";"Bodegas"},0),5)&amp;"|"&amp;B208&amp;"|"&amp;TEXT(G208,"yyyymmdd")&amp;"|"&amp;TEXT(H208,"yyyymmdd"))</f>
        <v>3|PRICE FORBES |20270311|20290310</v>
      </c>
      <c r="AE208" s="4"/>
      <c r="AF208" s="4"/>
    </row>
    <row r="209" spans="1:32" x14ac:dyDescent="0.2">
      <c r="A209" s="5">
        <v>-6</v>
      </c>
      <c r="B209" s="6" t="s">
        <v>181</v>
      </c>
      <c r="C209" s="6" t="s">
        <v>44</v>
      </c>
      <c r="D209" s="6" t="s">
        <v>10</v>
      </c>
      <c r="E209" s="5">
        <v>6076</v>
      </c>
      <c r="G209" s="9">
        <v>46457</v>
      </c>
      <c r="H209" s="9">
        <v>47187</v>
      </c>
      <c r="I209" s="6" t="s">
        <v>2</v>
      </c>
      <c r="L209" s="18">
        <v>1</v>
      </c>
      <c r="M209" s="19">
        <v>4.3</v>
      </c>
      <c r="N209" s="18">
        <v>4.3</v>
      </c>
      <c r="T209" s="4"/>
      <c r="U209" s="4"/>
      <c r="V209" s="4"/>
      <c r="W209" s="4"/>
      <c r="X209" s="4"/>
      <c r="Y209" s="4"/>
      <c r="Z209" s="4"/>
      <c r="AA209" s="4"/>
      <c r="AD209" s="20" t="str">
        <f>IF((B209="")+(B209="Vacante")+(D209=""),"",IFERROR(MATCH(D209,{"Oficinas";"Locales";"Estacionamientos";"Bodegas"},0),5)&amp;"|"&amp;B209&amp;"|"&amp;TEXT(G209,"yyyymmdd")&amp;"|"&amp;TEXT(H209,"yyyymmdd"))</f>
        <v>3|PRICE FORBES |20270311|20290310</v>
      </c>
      <c r="AE209" s="4"/>
      <c r="AF209" s="4"/>
    </row>
    <row r="210" spans="1:32" x14ac:dyDescent="0.2">
      <c r="A210" s="5">
        <v>-6</v>
      </c>
      <c r="B210" s="6" t="s">
        <v>188</v>
      </c>
      <c r="C210" s="6" t="s">
        <v>31</v>
      </c>
      <c r="D210" s="6" t="s">
        <v>10</v>
      </c>
      <c r="E210" s="5">
        <v>6077</v>
      </c>
      <c r="G210" s="9">
        <v>46112</v>
      </c>
      <c r="H210" s="9">
        <v>46843</v>
      </c>
      <c r="I210" s="6" t="s">
        <v>2</v>
      </c>
      <c r="L210" s="18">
        <v>1</v>
      </c>
      <c r="M210" s="19">
        <v>4.3</v>
      </c>
      <c r="N210" s="18">
        <v>4.3</v>
      </c>
      <c r="T210" s="4"/>
      <c r="U210" s="4"/>
      <c r="V210" s="4"/>
      <c r="W210" s="4"/>
      <c r="X210" s="4"/>
      <c r="Y210" s="4"/>
      <c r="Z210" s="4"/>
      <c r="AA210" s="4"/>
      <c r="AD210" s="20" t="str">
        <f>IF((B210="")+(B210="Vacante")+(D210=""),"",IFERROR(MATCH(D210,{"Oficinas";"Locales";"Estacionamientos";"Bodegas"},0),5)&amp;"|"&amp;B210&amp;"|"&amp;TEXT(G210,"yyyymmdd")&amp;"|"&amp;TEXT(H210,"yyyymmdd"))</f>
        <v>3|AMLV GRUPO|20260331|20280331</v>
      </c>
      <c r="AE210" s="4"/>
      <c r="AF210" s="4"/>
    </row>
    <row r="211" spans="1:32" x14ac:dyDescent="0.2">
      <c r="A211" s="5">
        <v>-6</v>
      </c>
      <c r="B211" s="6" t="s">
        <v>188</v>
      </c>
      <c r="C211" s="6" t="s">
        <v>31</v>
      </c>
      <c r="D211" s="6" t="s">
        <v>10</v>
      </c>
      <c r="E211" s="5">
        <v>6078</v>
      </c>
      <c r="G211" s="9">
        <v>46112</v>
      </c>
      <c r="H211" s="9">
        <v>46843</v>
      </c>
      <c r="I211" s="6" t="s">
        <v>2</v>
      </c>
      <c r="L211" s="18">
        <v>1</v>
      </c>
      <c r="M211" s="19">
        <v>4.3</v>
      </c>
      <c r="N211" s="18">
        <v>4.3</v>
      </c>
      <c r="T211" s="4"/>
      <c r="U211" s="4"/>
      <c r="V211" s="4"/>
      <c r="W211" s="4"/>
      <c r="X211" s="4"/>
      <c r="Y211" s="4"/>
      <c r="Z211" s="4"/>
      <c r="AA211" s="4"/>
      <c r="AD211" s="20" t="str">
        <f>IF((B211="")+(B211="Vacante")+(D211=""),"",IFERROR(MATCH(D211,{"Oficinas";"Locales";"Estacionamientos";"Bodegas"},0),5)&amp;"|"&amp;B211&amp;"|"&amp;TEXT(G211,"yyyymmdd")&amp;"|"&amp;TEXT(H211,"yyyymmdd"))</f>
        <v>3|AMLV GRUPO|20260331|20280331</v>
      </c>
      <c r="AE211" s="4"/>
      <c r="AF211" s="4"/>
    </row>
    <row r="212" spans="1:32" x14ac:dyDescent="0.2">
      <c r="A212" s="5">
        <v>-6</v>
      </c>
      <c r="B212" s="6" t="s">
        <v>188</v>
      </c>
      <c r="C212" s="6" t="s">
        <v>31</v>
      </c>
      <c r="D212" s="6" t="s">
        <v>10</v>
      </c>
      <c r="E212" s="5">
        <v>6079</v>
      </c>
      <c r="G212" s="9">
        <v>46112</v>
      </c>
      <c r="H212" s="9">
        <v>46843</v>
      </c>
      <c r="I212" s="6" t="s">
        <v>2</v>
      </c>
      <c r="L212" s="18">
        <v>1</v>
      </c>
      <c r="M212" s="19">
        <v>4.3</v>
      </c>
      <c r="N212" s="18">
        <v>4.3</v>
      </c>
      <c r="T212" s="4"/>
      <c r="U212" s="4"/>
      <c r="V212" s="4"/>
      <c r="W212" s="4"/>
      <c r="X212" s="4"/>
      <c r="Y212" s="4"/>
      <c r="Z212" s="4"/>
      <c r="AA212" s="4"/>
      <c r="AD212" s="20" t="str">
        <f>IF((B212="")+(B212="Vacante")+(D212=""),"",IFERROR(MATCH(D212,{"Oficinas";"Locales";"Estacionamientos";"Bodegas"},0),5)&amp;"|"&amp;B212&amp;"|"&amp;TEXT(G212,"yyyymmdd")&amp;"|"&amp;TEXT(H212,"yyyymmdd"))</f>
        <v>3|AMLV GRUPO|20260331|20280331</v>
      </c>
      <c r="AE212" s="4"/>
      <c r="AF212" s="4"/>
    </row>
    <row r="213" spans="1:32" x14ac:dyDescent="0.2">
      <c r="A213" s="5">
        <v>-6</v>
      </c>
      <c r="B213" s="6" t="s">
        <v>188</v>
      </c>
      <c r="C213" s="6" t="s">
        <v>31</v>
      </c>
      <c r="D213" s="6" t="s">
        <v>10</v>
      </c>
      <c r="E213" s="5">
        <v>6080</v>
      </c>
      <c r="G213" s="9">
        <v>46112</v>
      </c>
      <c r="H213" s="9">
        <v>46843</v>
      </c>
      <c r="I213" s="6" t="s">
        <v>2</v>
      </c>
      <c r="L213" s="18">
        <v>1</v>
      </c>
      <c r="M213" s="19">
        <v>4.3</v>
      </c>
      <c r="N213" s="18">
        <v>4.3</v>
      </c>
      <c r="T213" s="4"/>
      <c r="U213" s="4"/>
      <c r="V213" s="4"/>
      <c r="W213" s="4"/>
      <c r="X213" s="4"/>
      <c r="Y213" s="4"/>
      <c r="Z213" s="4"/>
      <c r="AA213" s="4"/>
      <c r="AD213" s="20" t="str">
        <f>IF((B213="")+(B213="Vacante")+(D213=""),"",IFERROR(MATCH(D213,{"Oficinas";"Locales";"Estacionamientos";"Bodegas"},0),5)&amp;"|"&amp;B213&amp;"|"&amp;TEXT(G213,"yyyymmdd")&amp;"|"&amp;TEXT(H213,"yyyymmdd"))</f>
        <v>3|AMLV GRUPO|20260331|20280331</v>
      </c>
      <c r="AE213" s="4"/>
      <c r="AF213" s="4"/>
    </row>
    <row r="214" spans="1:32" x14ac:dyDescent="0.2">
      <c r="A214" s="5">
        <v>-6</v>
      </c>
      <c r="B214" s="6" t="s">
        <v>188</v>
      </c>
      <c r="C214" s="6" t="s">
        <v>31</v>
      </c>
      <c r="D214" s="6" t="s">
        <v>10</v>
      </c>
      <c r="E214" s="5">
        <v>6081</v>
      </c>
      <c r="G214" s="9">
        <v>46112</v>
      </c>
      <c r="H214" s="9">
        <v>46843</v>
      </c>
      <c r="I214" s="6" t="s">
        <v>2</v>
      </c>
      <c r="L214" s="18">
        <v>1</v>
      </c>
      <c r="M214" s="19">
        <v>4.3</v>
      </c>
      <c r="N214" s="18">
        <v>4.3</v>
      </c>
      <c r="T214" s="4"/>
      <c r="U214" s="4"/>
      <c r="V214" s="4"/>
      <c r="W214" s="4"/>
      <c r="X214" s="4"/>
      <c r="Y214" s="4"/>
      <c r="Z214" s="4"/>
      <c r="AA214" s="4"/>
      <c r="AD214" s="20" t="str">
        <f>IF((B214="")+(B214="Vacante")+(D214=""),"",IFERROR(MATCH(D214,{"Oficinas";"Locales";"Estacionamientos";"Bodegas"},0),5)&amp;"|"&amp;B214&amp;"|"&amp;TEXT(G214,"yyyymmdd")&amp;"|"&amp;TEXT(H214,"yyyymmdd"))</f>
        <v>3|AMLV GRUPO|20260331|20280331</v>
      </c>
      <c r="AE214" s="4"/>
      <c r="AF214" s="4"/>
    </row>
    <row r="215" spans="1:32" x14ac:dyDescent="0.2">
      <c r="A215" s="5">
        <v>-6</v>
      </c>
      <c r="B215" s="6" t="s">
        <v>188</v>
      </c>
      <c r="C215" s="6" t="s">
        <v>31</v>
      </c>
      <c r="D215" s="6" t="s">
        <v>10</v>
      </c>
      <c r="E215" s="5">
        <v>6082</v>
      </c>
      <c r="G215" s="9">
        <v>46112</v>
      </c>
      <c r="H215" s="9">
        <v>46843</v>
      </c>
      <c r="I215" s="6" t="s">
        <v>2</v>
      </c>
      <c r="L215" s="18">
        <v>1</v>
      </c>
      <c r="M215" s="19">
        <v>4.3</v>
      </c>
      <c r="N215" s="18">
        <v>4.3</v>
      </c>
      <c r="T215" s="4"/>
      <c r="U215" s="4"/>
      <c r="V215" s="4"/>
      <c r="W215" s="4"/>
      <c r="X215" s="4"/>
      <c r="Y215" s="4"/>
      <c r="Z215" s="4"/>
      <c r="AA215" s="4"/>
      <c r="AD215" s="20" t="str">
        <f>IF((B215="")+(B215="Vacante")+(D215=""),"",IFERROR(MATCH(D215,{"Oficinas";"Locales";"Estacionamientos";"Bodegas"},0),5)&amp;"|"&amp;B215&amp;"|"&amp;TEXT(G215,"yyyymmdd")&amp;"|"&amp;TEXT(H215,"yyyymmdd"))</f>
        <v>3|AMLV GRUPO|20260331|20280331</v>
      </c>
      <c r="AE215" s="4"/>
      <c r="AF215" s="4"/>
    </row>
    <row r="216" spans="1:32" x14ac:dyDescent="0.2">
      <c r="A216" s="5">
        <v>-6</v>
      </c>
      <c r="B216" s="6" t="s">
        <v>181</v>
      </c>
      <c r="C216" s="6" t="s">
        <v>44</v>
      </c>
      <c r="D216" s="6" t="s">
        <v>10</v>
      </c>
      <c r="E216" s="5">
        <v>6083</v>
      </c>
      <c r="G216" s="9">
        <v>46457</v>
      </c>
      <c r="H216" s="9">
        <v>47187</v>
      </c>
      <c r="I216" s="6" t="s">
        <v>2</v>
      </c>
      <c r="L216" s="18">
        <v>1</v>
      </c>
      <c r="M216" s="19">
        <v>4.3</v>
      </c>
      <c r="N216" s="18">
        <v>4.3</v>
      </c>
      <c r="T216" s="4"/>
      <c r="U216" s="4"/>
      <c r="V216" s="4"/>
      <c r="W216" s="4"/>
      <c r="X216" s="4"/>
      <c r="Y216" s="4"/>
      <c r="Z216" s="4"/>
      <c r="AA216" s="4"/>
      <c r="AD216" s="20" t="str">
        <f>IF((B216="")+(B216="Vacante")+(D216=""),"",IFERROR(MATCH(D216,{"Oficinas";"Locales";"Estacionamientos";"Bodegas"},0),5)&amp;"|"&amp;B216&amp;"|"&amp;TEXT(G216,"yyyymmdd")&amp;"|"&amp;TEXT(H216,"yyyymmdd"))</f>
        <v>3|PRICE FORBES |20270311|20290310</v>
      </c>
      <c r="AE216" s="4"/>
      <c r="AF216" s="4"/>
    </row>
    <row r="217" spans="1:32" x14ac:dyDescent="0.2">
      <c r="A217" s="5">
        <v>-6</v>
      </c>
      <c r="B217" s="6" t="s">
        <v>181</v>
      </c>
      <c r="C217" s="6" t="s">
        <v>44</v>
      </c>
      <c r="D217" s="6" t="s">
        <v>10</v>
      </c>
      <c r="E217" s="5">
        <v>6084</v>
      </c>
      <c r="G217" s="9">
        <v>46457</v>
      </c>
      <c r="H217" s="9">
        <v>47187</v>
      </c>
      <c r="I217" s="6" t="s">
        <v>2</v>
      </c>
      <c r="L217" s="18">
        <v>1</v>
      </c>
      <c r="M217" s="19">
        <v>4.3</v>
      </c>
      <c r="N217" s="18">
        <v>4.3</v>
      </c>
      <c r="T217" s="4"/>
      <c r="U217" s="4"/>
      <c r="V217" s="4"/>
      <c r="W217" s="4"/>
      <c r="X217" s="4"/>
      <c r="Y217" s="4"/>
      <c r="Z217" s="4"/>
      <c r="AA217" s="4"/>
      <c r="AD217" s="20" t="str">
        <f>IF((B217="")+(B217="Vacante")+(D217=""),"",IFERROR(MATCH(D217,{"Oficinas";"Locales";"Estacionamientos";"Bodegas"},0),5)&amp;"|"&amp;B217&amp;"|"&amp;TEXT(G217,"yyyymmdd")&amp;"|"&amp;TEXT(H217,"yyyymmdd"))</f>
        <v>3|PRICE FORBES |20270311|20290310</v>
      </c>
      <c r="AE217" s="4"/>
      <c r="AF217" s="4"/>
    </row>
    <row r="218" spans="1:32" x14ac:dyDescent="0.2">
      <c r="A218" s="5">
        <v>-6</v>
      </c>
      <c r="B218" s="6" t="s">
        <v>185</v>
      </c>
      <c r="C218" s="6" t="s">
        <v>35</v>
      </c>
      <c r="D218" s="6" t="s">
        <v>10</v>
      </c>
      <c r="E218" s="5">
        <v>6085</v>
      </c>
      <c r="G218" s="9" t="s">
        <v>9</v>
      </c>
      <c r="H218" s="9">
        <v>47238</v>
      </c>
      <c r="I218" s="6" t="s">
        <v>2</v>
      </c>
      <c r="L218" s="18">
        <v>1</v>
      </c>
      <c r="M218" s="19">
        <v>4</v>
      </c>
      <c r="N218" s="18">
        <v>4</v>
      </c>
      <c r="T218" s="4"/>
      <c r="U218" s="4"/>
      <c r="V218" s="4"/>
      <c r="W218" s="4"/>
      <c r="X218" s="4"/>
      <c r="Y218" s="4"/>
      <c r="Z218" s="4"/>
      <c r="AA218" s="4"/>
      <c r="AD218" s="20" t="str">
        <f>IF((B218="")+(B218="Vacante")+(D218=""),"",IFERROR(MATCH(D218,{"Oficinas";"Locales";"Estacionamientos";"Bodegas"},0),5)&amp;"|"&amp;B218&amp;"|"&amp;TEXT(G218,"yyyymmdd")&amp;"|"&amp;TEXT(H218,"yyyymmdd"))</f>
        <v>3|BOEHRINGER |-|20290430</v>
      </c>
      <c r="AE218" s="4"/>
      <c r="AF218" s="4"/>
    </row>
    <row r="219" spans="1:32" x14ac:dyDescent="0.2">
      <c r="A219" s="5">
        <v>-6</v>
      </c>
      <c r="B219" s="6" t="s">
        <v>185</v>
      </c>
      <c r="C219" s="6" t="s">
        <v>35</v>
      </c>
      <c r="D219" s="6" t="s">
        <v>10</v>
      </c>
      <c r="E219" s="5">
        <v>6086</v>
      </c>
      <c r="G219" s="9" t="s">
        <v>9</v>
      </c>
      <c r="H219" s="9">
        <v>47238</v>
      </c>
      <c r="I219" s="6" t="s">
        <v>2</v>
      </c>
      <c r="L219" s="18">
        <v>1</v>
      </c>
      <c r="M219" s="19">
        <v>4</v>
      </c>
      <c r="N219" s="18">
        <v>4</v>
      </c>
      <c r="T219" s="4"/>
      <c r="U219" s="4"/>
      <c r="V219" s="4"/>
      <c r="W219" s="4"/>
      <c r="X219" s="4"/>
      <c r="Y219" s="4"/>
      <c r="Z219" s="4"/>
      <c r="AA219" s="4"/>
      <c r="AD219" s="20" t="str">
        <f>IF((B219="")+(B219="Vacante")+(D219=""),"",IFERROR(MATCH(D219,{"Oficinas";"Locales";"Estacionamientos";"Bodegas"},0),5)&amp;"|"&amp;B219&amp;"|"&amp;TEXT(G219,"yyyymmdd")&amp;"|"&amp;TEXT(H219,"yyyymmdd"))</f>
        <v>3|BOEHRINGER |-|20290430</v>
      </c>
      <c r="AE219" s="4"/>
      <c r="AF219" s="4"/>
    </row>
    <row r="220" spans="1:32" x14ac:dyDescent="0.2">
      <c r="A220" s="5">
        <v>-6</v>
      </c>
      <c r="B220" s="6" t="s">
        <v>193</v>
      </c>
      <c r="C220" s="6" t="s">
        <v>24</v>
      </c>
      <c r="D220" s="6" t="s">
        <v>10</v>
      </c>
      <c r="E220" s="5">
        <v>6087</v>
      </c>
      <c r="G220" s="9" t="s">
        <v>9</v>
      </c>
      <c r="H220" s="9">
        <v>47528</v>
      </c>
      <c r="I220" s="6" t="s">
        <v>2</v>
      </c>
      <c r="L220" s="18">
        <v>1</v>
      </c>
      <c r="M220" s="19">
        <v>3</v>
      </c>
      <c r="N220" s="18">
        <v>3</v>
      </c>
      <c r="T220" s="4"/>
      <c r="U220" s="4"/>
      <c r="V220" s="4"/>
      <c r="W220" s="4"/>
      <c r="X220" s="4"/>
      <c r="Y220" s="4"/>
      <c r="Z220" s="4"/>
      <c r="AA220" s="4"/>
      <c r="AD220" s="20" t="str">
        <f>IF((B220="")+(B220="Vacante")+(D220=""),"",IFERROR(MATCH(D220,{"Oficinas";"Locales";"Estacionamientos";"Bodegas"},0),5)&amp;"|"&amp;B220&amp;"|"&amp;TEXT(G220,"yyyymmdd")&amp;"|"&amp;TEXT(H220,"yyyymmdd"))</f>
        <v>3|STELLANTIS|-|20300214</v>
      </c>
      <c r="AE220" s="4"/>
      <c r="AF220" s="4"/>
    </row>
    <row r="221" spans="1:32" x14ac:dyDescent="0.2">
      <c r="A221" s="5">
        <v>-6</v>
      </c>
      <c r="B221" s="6" t="s">
        <v>193</v>
      </c>
      <c r="C221" s="6" t="s">
        <v>24</v>
      </c>
      <c r="D221" s="6" t="s">
        <v>10</v>
      </c>
      <c r="E221" s="5">
        <v>6088</v>
      </c>
      <c r="G221" s="9" t="s">
        <v>9</v>
      </c>
      <c r="H221" s="9">
        <v>47528</v>
      </c>
      <c r="I221" s="6" t="s">
        <v>2</v>
      </c>
      <c r="L221" s="18">
        <v>1</v>
      </c>
      <c r="M221" s="19">
        <v>3</v>
      </c>
      <c r="N221" s="18">
        <v>3</v>
      </c>
      <c r="T221" s="4"/>
      <c r="U221" s="4"/>
      <c r="V221" s="4"/>
      <c r="W221" s="4"/>
      <c r="X221" s="4"/>
      <c r="Y221" s="4"/>
      <c r="Z221" s="4"/>
      <c r="AA221" s="4"/>
      <c r="AD221" s="20" t="str">
        <f>IF((B221="")+(B221="Vacante")+(D221=""),"",IFERROR(MATCH(D221,{"Oficinas";"Locales";"Estacionamientos";"Bodegas"},0),5)&amp;"|"&amp;B221&amp;"|"&amp;TEXT(G221,"yyyymmdd")&amp;"|"&amp;TEXT(H221,"yyyymmdd"))</f>
        <v>3|STELLANTIS|-|20300214</v>
      </c>
      <c r="AE221" s="4"/>
      <c r="AF221" s="4"/>
    </row>
    <row r="222" spans="1:32" x14ac:dyDescent="0.2">
      <c r="A222" s="5">
        <v>-6</v>
      </c>
      <c r="B222" s="6" t="s">
        <v>185</v>
      </c>
      <c r="C222" s="6" t="s">
        <v>35</v>
      </c>
      <c r="D222" s="6" t="s">
        <v>10</v>
      </c>
      <c r="E222" s="5">
        <v>6089</v>
      </c>
      <c r="G222" s="9" t="s">
        <v>9</v>
      </c>
      <c r="H222" s="9">
        <v>47238</v>
      </c>
      <c r="I222" s="6" t="s">
        <v>2</v>
      </c>
      <c r="L222" s="18">
        <v>1</v>
      </c>
      <c r="M222" s="19">
        <v>4</v>
      </c>
      <c r="N222" s="18">
        <v>4</v>
      </c>
      <c r="T222" s="4"/>
      <c r="U222" s="4"/>
      <c r="V222" s="4"/>
      <c r="W222" s="4"/>
      <c r="X222" s="4"/>
      <c r="Y222" s="4"/>
      <c r="Z222" s="4"/>
      <c r="AA222" s="4"/>
      <c r="AD222" s="20" t="str">
        <f>IF((B222="")+(B222="Vacante")+(D222=""),"",IFERROR(MATCH(D222,{"Oficinas";"Locales";"Estacionamientos";"Bodegas"},0),5)&amp;"|"&amp;B222&amp;"|"&amp;TEXT(G222,"yyyymmdd")&amp;"|"&amp;TEXT(H222,"yyyymmdd"))</f>
        <v>3|BOEHRINGER |-|20290430</v>
      </c>
      <c r="AE222" s="4"/>
      <c r="AF222" s="4"/>
    </row>
    <row r="223" spans="1:32" x14ac:dyDescent="0.2">
      <c r="A223" s="5">
        <v>-6</v>
      </c>
      <c r="B223" s="6" t="s">
        <v>181</v>
      </c>
      <c r="C223" s="6" t="s">
        <v>44</v>
      </c>
      <c r="D223" s="6" t="s">
        <v>10</v>
      </c>
      <c r="E223" s="5">
        <v>6090</v>
      </c>
      <c r="G223" s="9">
        <v>46457</v>
      </c>
      <c r="H223" s="9">
        <v>47187</v>
      </c>
      <c r="I223" s="6" t="s">
        <v>2</v>
      </c>
      <c r="L223" s="18">
        <v>1</v>
      </c>
      <c r="M223" s="19">
        <v>4.3</v>
      </c>
      <c r="N223" s="18">
        <v>4.3</v>
      </c>
      <c r="T223" s="4"/>
      <c r="U223" s="4"/>
      <c r="V223" s="4"/>
      <c r="W223" s="4"/>
      <c r="X223" s="4"/>
      <c r="Y223" s="4"/>
      <c r="Z223" s="4"/>
      <c r="AA223" s="4"/>
      <c r="AD223" s="20" t="str">
        <f>IF((B223="")+(B223="Vacante")+(D223=""),"",IFERROR(MATCH(D223,{"Oficinas";"Locales";"Estacionamientos";"Bodegas"},0),5)&amp;"|"&amp;B223&amp;"|"&amp;TEXT(G223,"yyyymmdd")&amp;"|"&amp;TEXT(H223,"yyyymmdd"))</f>
        <v>3|PRICE FORBES |20270311|20290310</v>
      </c>
      <c r="AE223" s="4"/>
      <c r="AF223" s="4"/>
    </row>
    <row r="224" spans="1:32" x14ac:dyDescent="0.2">
      <c r="A224" s="5">
        <v>-6</v>
      </c>
      <c r="B224" s="6" t="s">
        <v>194</v>
      </c>
      <c r="C224" s="6" t="s">
        <v>22</v>
      </c>
      <c r="D224" s="6" t="s">
        <v>10</v>
      </c>
      <c r="E224" s="5">
        <v>6091</v>
      </c>
      <c r="G224" s="9">
        <v>46023</v>
      </c>
      <c r="H224" s="9">
        <v>46568</v>
      </c>
      <c r="I224" s="6" t="s">
        <v>2</v>
      </c>
      <c r="L224" s="18">
        <v>1</v>
      </c>
      <c r="M224" s="19">
        <v>4.3</v>
      </c>
      <c r="N224" s="18">
        <v>4.3</v>
      </c>
      <c r="T224" s="4"/>
      <c r="U224" s="4"/>
      <c r="V224" s="4"/>
      <c r="W224" s="4"/>
      <c r="X224" s="4"/>
      <c r="Y224" s="4"/>
      <c r="Z224" s="4"/>
      <c r="AA224" s="4"/>
      <c r="AD224" s="20" t="str">
        <f>IF((B224="")+(B224="Vacante")+(D224=""),"",IFERROR(MATCH(D224,{"Oficinas";"Locales";"Estacionamientos";"Bodegas"},0),5)&amp;"|"&amp;B224&amp;"|"&amp;TEXT(G224,"yyyymmdd")&amp;"|"&amp;TEXT(H224,"yyyymmdd"))</f>
        <v>3|BLACK ROCK |20260101|20270630</v>
      </c>
      <c r="AE224" s="4"/>
      <c r="AF224" s="4"/>
    </row>
    <row r="225" spans="1:32" x14ac:dyDescent="0.2">
      <c r="A225" s="5">
        <v>-6</v>
      </c>
      <c r="B225" s="6" t="s">
        <v>194</v>
      </c>
      <c r="C225" s="6" t="s">
        <v>22</v>
      </c>
      <c r="D225" s="6" t="s">
        <v>10</v>
      </c>
      <c r="E225" s="5">
        <v>6092</v>
      </c>
      <c r="G225" s="9">
        <v>46023</v>
      </c>
      <c r="H225" s="9">
        <v>46568</v>
      </c>
      <c r="I225" s="6" t="s">
        <v>2</v>
      </c>
      <c r="L225" s="18">
        <v>1</v>
      </c>
      <c r="M225" s="19">
        <v>4.3</v>
      </c>
      <c r="N225" s="18">
        <v>4.3</v>
      </c>
      <c r="T225" s="4"/>
      <c r="U225" s="4"/>
      <c r="V225" s="4"/>
      <c r="W225" s="4"/>
      <c r="X225" s="4"/>
      <c r="Y225" s="4"/>
      <c r="Z225" s="4"/>
      <c r="AA225" s="4"/>
      <c r="AD225" s="20" t="str">
        <f>IF((B225="")+(B225="Vacante")+(D225=""),"",IFERROR(MATCH(D225,{"Oficinas";"Locales";"Estacionamientos";"Bodegas"},0),5)&amp;"|"&amp;B225&amp;"|"&amp;TEXT(G225,"yyyymmdd")&amp;"|"&amp;TEXT(H225,"yyyymmdd"))</f>
        <v>3|BLACK ROCK |20260101|20270630</v>
      </c>
      <c r="AE225" s="4"/>
      <c r="AF225" s="4"/>
    </row>
    <row r="226" spans="1:32" x14ac:dyDescent="0.2">
      <c r="A226" s="5">
        <v>-6</v>
      </c>
      <c r="B226" s="6" t="s">
        <v>194</v>
      </c>
      <c r="C226" s="6" t="s">
        <v>22</v>
      </c>
      <c r="D226" s="6" t="s">
        <v>10</v>
      </c>
      <c r="E226" s="5">
        <v>6093</v>
      </c>
      <c r="G226" s="9">
        <v>46023</v>
      </c>
      <c r="H226" s="9">
        <v>46568</v>
      </c>
      <c r="I226" s="6" t="s">
        <v>2</v>
      </c>
      <c r="L226" s="18">
        <v>1</v>
      </c>
      <c r="M226" s="19">
        <v>4.3</v>
      </c>
      <c r="N226" s="18">
        <v>4.3</v>
      </c>
      <c r="T226" s="4"/>
      <c r="U226" s="4"/>
      <c r="V226" s="4"/>
      <c r="W226" s="4"/>
      <c r="X226" s="4"/>
      <c r="Y226" s="4"/>
      <c r="Z226" s="4"/>
      <c r="AA226" s="4"/>
      <c r="AD226" s="20" t="str">
        <f>IF((B226="")+(B226="Vacante")+(D226=""),"",IFERROR(MATCH(D226,{"Oficinas";"Locales";"Estacionamientos";"Bodegas"},0),5)&amp;"|"&amp;B226&amp;"|"&amp;TEXT(G226,"yyyymmdd")&amp;"|"&amp;TEXT(H226,"yyyymmdd"))</f>
        <v>3|BLACK ROCK |20260101|20270630</v>
      </c>
      <c r="AE226" s="4"/>
      <c r="AF226" s="4"/>
    </row>
    <row r="227" spans="1:32" x14ac:dyDescent="0.2">
      <c r="A227" s="5">
        <v>-6</v>
      </c>
      <c r="B227" s="6" t="s">
        <v>185</v>
      </c>
      <c r="C227" s="6" t="s">
        <v>35</v>
      </c>
      <c r="D227" s="6" t="s">
        <v>10</v>
      </c>
      <c r="E227" s="5">
        <v>6094</v>
      </c>
      <c r="G227" s="9" t="s">
        <v>9</v>
      </c>
      <c r="H227" s="9">
        <v>47238</v>
      </c>
      <c r="I227" s="6" t="s">
        <v>2</v>
      </c>
      <c r="L227" s="18">
        <v>1</v>
      </c>
      <c r="M227" s="19">
        <v>4.5</v>
      </c>
      <c r="N227" s="18">
        <v>4.5</v>
      </c>
      <c r="T227" s="4"/>
      <c r="U227" s="4"/>
      <c r="V227" s="4"/>
      <c r="W227" s="4"/>
      <c r="X227" s="4"/>
      <c r="Y227" s="4"/>
      <c r="Z227" s="4"/>
      <c r="AA227" s="4"/>
      <c r="AD227" s="20" t="str">
        <f>IF((B227="")+(B227="Vacante")+(D227=""),"",IFERROR(MATCH(D227,{"Oficinas";"Locales";"Estacionamientos";"Bodegas"},0),5)&amp;"|"&amp;B227&amp;"|"&amp;TEXT(G227,"yyyymmdd")&amp;"|"&amp;TEXT(H227,"yyyymmdd"))</f>
        <v>3|BOEHRINGER |-|20290430</v>
      </c>
      <c r="AE227" s="4"/>
      <c r="AF227" s="4"/>
    </row>
    <row r="228" spans="1:32" x14ac:dyDescent="0.2">
      <c r="A228" s="5">
        <v>-6</v>
      </c>
      <c r="B228" s="6" t="s">
        <v>185</v>
      </c>
      <c r="C228" s="6" t="s">
        <v>35</v>
      </c>
      <c r="D228" s="6" t="s">
        <v>10</v>
      </c>
      <c r="E228" s="5">
        <v>6095</v>
      </c>
      <c r="G228" s="9" t="s">
        <v>9</v>
      </c>
      <c r="H228" s="9">
        <v>47238</v>
      </c>
      <c r="I228" s="6" t="s">
        <v>2</v>
      </c>
      <c r="L228" s="18">
        <v>1</v>
      </c>
      <c r="M228" s="19">
        <v>4.5</v>
      </c>
      <c r="N228" s="18">
        <v>4.5</v>
      </c>
      <c r="T228" s="4"/>
      <c r="U228" s="4"/>
      <c r="V228" s="4"/>
      <c r="W228" s="4"/>
      <c r="X228" s="4"/>
      <c r="Y228" s="4"/>
      <c r="Z228" s="4"/>
      <c r="AA228" s="4"/>
      <c r="AD228" s="20" t="str">
        <f>IF((B228="")+(B228="Vacante")+(D228=""),"",IFERROR(MATCH(D228,{"Oficinas";"Locales";"Estacionamientos";"Bodegas"},0),5)&amp;"|"&amp;B228&amp;"|"&amp;TEXT(G228,"yyyymmdd")&amp;"|"&amp;TEXT(H228,"yyyymmdd"))</f>
        <v>3|BOEHRINGER |-|20290430</v>
      </c>
      <c r="AE228" s="4"/>
      <c r="AF228" s="4"/>
    </row>
    <row r="229" spans="1:32" x14ac:dyDescent="0.2">
      <c r="A229" s="5">
        <v>-6</v>
      </c>
      <c r="B229" s="6" t="s">
        <v>185</v>
      </c>
      <c r="C229" s="6" t="s">
        <v>35</v>
      </c>
      <c r="D229" s="6" t="s">
        <v>10</v>
      </c>
      <c r="E229" s="5">
        <v>6096</v>
      </c>
      <c r="G229" s="9" t="s">
        <v>9</v>
      </c>
      <c r="H229" s="9">
        <v>47238</v>
      </c>
      <c r="I229" s="6" t="s">
        <v>2</v>
      </c>
      <c r="L229" s="18">
        <v>1</v>
      </c>
      <c r="M229" s="19">
        <v>4.5</v>
      </c>
      <c r="N229" s="18">
        <v>4.5</v>
      </c>
      <c r="T229" s="4"/>
      <c r="U229" s="4"/>
      <c r="V229" s="4"/>
      <c r="W229" s="4"/>
      <c r="X229" s="4"/>
      <c r="Y229" s="4"/>
      <c r="Z229" s="4"/>
      <c r="AA229" s="4"/>
      <c r="AD229" s="20" t="str">
        <f>IF((B229="")+(B229="Vacante")+(D229=""),"",IFERROR(MATCH(D229,{"Oficinas";"Locales";"Estacionamientos";"Bodegas"},0),5)&amp;"|"&amp;B229&amp;"|"&amp;TEXT(G229,"yyyymmdd")&amp;"|"&amp;TEXT(H229,"yyyymmdd"))</f>
        <v>3|BOEHRINGER |-|20290430</v>
      </c>
      <c r="AE229" s="4"/>
      <c r="AF229" s="4"/>
    </row>
    <row r="230" spans="1:32" x14ac:dyDescent="0.2">
      <c r="A230" s="5">
        <v>-6</v>
      </c>
      <c r="B230" s="6" t="s">
        <v>185</v>
      </c>
      <c r="C230" s="6" t="s">
        <v>35</v>
      </c>
      <c r="D230" s="6" t="s">
        <v>10</v>
      </c>
      <c r="E230" s="5">
        <v>6097</v>
      </c>
      <c r="G230" s="9" t="s">
        <v>9</v>
      </c>
      <c r="H230" s="9">
        <v>47238</v>
      </c>
      <c r="I230" s="6" t="s">
        <v>2</v>
      </c>
      <c r="L230" s="18">
        <v>1</v>
      </c>
      <c r="M230" s="19">
        <v>4.5</v>
      </c>
      <c r="N230" s="18">
        <v>4.5</v>
      </c>
      <c r="T230" s="4"/>
      <c r="U230" s="4"/>
      <c r="V230" s="4"/>
      <c r="W230" s="4"/>
      <c r="X230" s="4"/>
      <c r="Y230" s="4"/>
      <c r="Z230" s="4"/>
      <c r="AA230" s="4"/>
      <c r="AD230" s="20" t="str">
        <f>IF((B230="")+(B230="Vacante")+(D230=""),"",IFERROR(MATCH(D230,{"Oficinas";"Locales";"Estacionamientos";"Bodegas"},0),5)&amp;"|"&amp;B230&amp;"|"&amp;TEXT(G230,"yyyymmdd")&amp;"|"&amp;TEXT(H230,"yyyymmdd"))</f>
        <v>3|BOEHRINGER |-|20290430</v>
      </c>
      <c r="AE230" s="4"/>
      <c r="AF230" s="4"/>
    </row>
    <row r="231" spans="1:32" x14ac:dyDescent="0.2">
      <c r="A231" s="5">
        <v>-6</v>
      </c>
      <c r="B231" s="6" t="s">
        <v>185</v>
      </c>
      <c r="C231" s="6" t="s">
        <v>35</v>
      </c>
      <c r="D231" s="6" t="s">
        <v>10</v>
      </c>
      <c r="E231" s="5">
        <v>6098</v>
      </c>
      <c r="G231" s="9" t="s">
        <v>9</v>
      </c>
      <c r="H231" s="9">
        <v>47238</v>
      </c>
      <c r="I231" s="6" t="s">
        <v>2</v>
      </c>
      <c r="L231" s="18">
        <v>1</v>
      </c>
      <c r="M231" s="19">
        <v>4.5</v>
      </c>
      <c r="N231" s="18">
        <v>4.5</v>
      </c>
      <c r="T231" s="4"/>
      <c r="U231" s="4"/>
      <c r="V231" s="4"/>
      <c r="W231" s="4"/>
      <c r="X231" s="4"/>
      <c r="Y231" s="4"/>
      <c r="Z231" s="4"/>
      <c r="AA231" s="4"/>
      <c r="AD231" s="20" t="str">
        <f>IF((B231="")+(B231="Vacante")+(D231=""),"",IFERROR(MATCH(D231,{"Oficinas";"Locales";"Estacionamientos";"Bodegas"},0),5)&amp;"|"&amp;B231&amp;"|"&amp;TEXT(G231,"yyyymmdd")&amp;"|"&amp;TEXT(H231,"yyyymmdd"))</f>
        <v>3|BOEHRINGER |-|20290430</v>
      </c>
      <c r="AE231" s="4"/>
      <c r="AF231" s="4"/>
    </row>
    <row r="232" spans="1:32" x14ac:dyDescent="0.2">
      <c r="A232" s="5">
        <v>-6</v>
      </c>
      <c r="B232" s="6" t="s">
        <v>185</v>
      </c>
      <c r="C232" s="6" t="s">
        <v>35</v>
      </c>
      <c r="D232" s="6" t="s">
        <v>10</v>
      </c>
      <c r="E232" s="5">
        <v>6099</v>
      </c>
      <c r="G232" s="9" t="s">
        <v>9</v>
      </c>
      <c r="H232" s="9">
        <v>47238</v>
      </c>
      <c r="I232" s="6" t="s">
        <v>2</v>
      </c>
      <c r="L232" s="18">
        <v>1</v>
      </c>
      <c r="M232" s="19">
        <v>4.5</v>
      </c>
      <c r="N232" s="18">
        <v>4.5</v>
      </c>
      <c r="T232" s="4"/>
      <c r="U232" s="4"/>
      <c r="V232" s="4"/>
      <c r="W232" s="4"/>
      <c r="X232" s="4"/>
      <c r="Y232" s="4"/>
      <c r="Z232" s="4"/>
      <c r="AA232" s="4"/>
      <c r="AD232" s="20" t="str">
        <f>IF((B232="")+(B232="Vacante")+(D232=""),"",IFERROR(MATCH(D232,{"Oficinas";"Locales";"Estacionamientos";"Bodegas"},0),5)&amp;"|"&amp;B232&amp;"|"&amp;TEXT(G232,"yyyymmdd")&amp;"|"&amp;TEXT(H232,"yyyymmdd"))</f>
        <v>3|BOEHRINGER |-|20290430</v>
      </c>
      <c r="AE232" s="4"/>
      <c r="AF232" s="4"/>
    </row>
    <row r="233" spans="1:32" x14ac:dyDescent="0.2">
      <c r="A233" s="5">
        <v>-6</v>
      </c>
      <c r="B233" s="6" t="s">
        <v>185</v>
      </c>
      <c r="C233" s="6" t="s">
        <v>35</v>
      </c>
      <c r="D233" s="6" t="s">
        <v>10</v>
      </c>
      <c r="E233" s="5">
        <v>6100</v>
      </c>
      <c r="G233" s="9" t="s">
        <v>9</v>
      </c>
      <c r="H233" s="9">
        <v>47238</v>
      </c>
      <c r="I233" s="6" t="s">
        <v>2</v>
      </c>
      <c r="L233" s="18">
        <v>1</v>
      </c>
      <c r="M233" s="19">
        <v>4.5</v>
      </c>
      <c r="N233" s="18">
        <v>4.5</v>
      </c>
      <c r="T233" s="4"/>
      <c r="U233" s="4"/>
      <c r="V233" s="4"/>
      <c r="W233" s="4"/>
      <c r="X233" s="4"/>
      <c r="Y233" s="4"/>
      <c r="Z233" s="4"/>
      <c r="AA233" s="4"/>
      <c r="AD233" s="20" t="str">
        <f>IF((B233="")+(B233="Vacante")+(D233=""),"",IFERROR(MATCH(D233,{"Oficinas";"Locales";"Estacionamientos";"Bodegas"},0),5)&amp;"|"&amp;B233&amp;"|"&amp;TEXT(G233,"yyyymmdd")&amp;"|"&amp;TEXT(H233,"yyyymmdd"))</f>
        <v>3|BOEHRINGER |-|20290430</v>
      </c>
      <c r="AE233" s="4"/>
      <c r="AF233" s="4"/>
    </row>
    <row r="234" spans="1:32" x14ac:dyDescent="0.2">
      <c r="A234" s="5">
        <v>-6</v>
      </c>
      <c r="B234" s="6" t="s">
        <v>185</v>
      </c>
      <c r="C234" s="6" t="s">
        <v>35</v>
      </c>
      <c r="D234" s="6" t="s">
        <v>10</v>
      </c>
      <c r="E234" s="5">
        <v>6101</v>
      </c>
      <c r="G234" s="9" t="s">
        <v>9</v>
      </c>
      <c r="H234" s="9">
        <v>47238</v>
      </c>
      <c r="I234" s="6" t="s">
        <v>2</v>
      </c>
      <c r="L234" s="18">
        <v>1</v>
      </c>
      <c r="M234" s="19">
        <v>4.5</v>
      </c>
      <c r="N234" s="18">
        <v>4.5</v>
      </c>
      <c r="T234" s="4"/>
      <c r="U234" s="4"/>
      <c r="V234" s="4"/>
      <c r="W234" s="4"/>
      <c r="X234" s="4"/>
      <c r="Y234" s="4"/>
      <c r="Z234" s="4"/>
      <c r="AA234" s="4"/>
      <c r="AD234" s="20" t="str">
        <f>IF((B234="")+(B234="Vacante")+(D234=""),"",IFERROR(MATCH(D234,{"Oficinas";"Locales";"Estacionamientos";"Bodegas"},0),5)&amp;"|"&amp;B234&amp;"|"&amp;TEXT(G234,"yyyymmdd")&amp;"|"&amp;TEXT(H234,"yyyymmdd"))</f>
        <v>3|BOEHRINGER |-|20290430</v>
      </c>
      <c r="AE234" s="4"/>
      <c r="AF234" s="4"/>
    </row>
    <row r="235" spans="1:32" x14ac:dyDescent="0.2">
      <c r="A235" s="5">
        <v>-6</v>
      </c>
      <c r="B235" s="6" t="s">
        <v>185</v>
      </c>
      <c r="C235" s="6" t="s">
        <v>35</v>
      </c>
      <c r="D235" s="6" t="s">
        <v>10</v>
      </c>
      <c r="E235" s="5">
        <v>6102</v>
      </c>
      <c r="G235" s="9" t="s">
        <v>9</v>
      </c>
      <c r="H235" s="9">
        <v>47238</v>
      </c>
      <c r="I235" s="6" t="s">
        <v>2</v>
      </c>
      <c r="L235" s="18">
        <v>1</v>
      </c>
      <c r="M235" s="19">
        <v>4.5</v>
      </c>
      <c r="N235" s="18">
        <v>4.5</v>
      </c>
      <c r="T235" s="4"/>
      <c r="U235" s="4"/>
      <c r="V235" s="4"/>
      <c r="W235" s="4"/>
      <c r="X235" s="4"/>
      <c r="Y235" s="4"/>
      <c r="Z235" s="4"/>
      <c r="AA235" s="4"/>
      <c r="AD235" s="20" t="str">
        <f>IF((B235="")+(B235="Vacante")+(D235=""),"",IFERROR(MATCH(D235,{"Oficinas";"Locales";"Estacionamientos";"Bodegas"},0),5)&amp;"|"&amp;B235&amp;"|"&amp;TEXT(G235,"yyyymmdd")&amp;"|"&amp;TEXT(H235,"yyyymmdd"))</f>
        <v>3|BOEHRINGER |-|20290430</v>
      </c>
      <c r="AE235" s="4"/>
      <c r="AF235" s="4"/>
    </row>
    <row r="236" spans="1:32" x14ac:dyDescent="0.2">
      <c r="A236" s="5">
        <v>-6</v>
      </c>
      <c r="B236" s="6" t="s">
        <v>185</v>
      </c>
      <c r="C236" s="6" t="s">
        <v>35</v>
      </c>
      <c r="D236" s="6" t="s">
        <v>10</v>
      </c>
      <c r="E236" s="5">
        <v>6103</v>
      </c>
      <c r="G236" s="9" t="s">
        <v>9</v>
      </c>
      <c r="H236" s="9">
        <v>47238</v>
      </c>
      <c r="I236" s="6" t="s">
        <v>2</v>
      </c>
      <c r="L236" s="18">
        <v>1</v>
      </c>
      <c r="M236" s="19">
        <v>4.5</v>
      </c>
      <c r="N236" s="18">
        <v>4.5</v>
      </c>
      <c r="T236" s="4"/>
      <c r="U236" s="4"/>
      <c r="V236" s="4"/>
      <c r="W236" s="4"/>
      <c r="X236" s="4"/>
      <c r="Y236" s="4"/>
      <c r="Z236" s="4"/>
      <c r="AA236" s="4"/>
      <c r="AD236" s="20" t="str">
        <f>IF((B236="")+(B236="Vacante")+(D236=""),"",IFERROR(MATCH(D236,{"Oficinas";"Locales";"Estacionamientos";"Bodegas"},0),5)&amp;"|"&amp;B236&amp;"|"&amp;TEXT(G236,"yyyymmdd")&amp;"|"&amp;TEXT(H236,"yyyymmdd"))</f>
        <v>3|BOEHRINGER |-|20290430</v>
      </c>
      <c r="AE236" s="4"/>
      <c r="AF236" s="4"/>
    </row>
    <row r="237" spans="1:32" x14ac:dyDescent="0.2">
      <c r="A237" s="5">
        <v>-6</v>
      </c>
      <c r="B237" s="6" t="s">
        <v>185</v>
      </c>
      <c r="C237" s="6" t="s">
        <v>35</v>
      </c>
      <c r="D237" s="6" t="s">
        <v>10</v>
      </c>
      <c r="E237" s="5">
        <v>6104</v>
      </c>
      <c r="G237" s="9" t="s">
        <v>9</v>
      </c>
      <c r="H237" s="9">
        <v>47238</v>
      </c>
      <c r="I237" s="6" t="s">
        <v>2</v>
      </c>
      <c r="L237" s="18">
        <v>1</v>
      </c>
      <c r="M237" s="19">
        <v>4.5</v>
      </c>
      <c r="N237" s="18">
        <v>4.5</v>
      </c>
      <c r="T237" s="4"/>
      <c r="U237" s="4"/>
      <c r="V237" s="4"/>
      <c r="W237" s="4"/>
      <c r="X237" s="4"/>
      <c r="Y237" s="4"/>
      <c r="Z237" s="4"/>
      <c r="AA237" s="4"/>
      <c r="AD237" s="20" t="str">
        <f>IF((B237="")+(B237="Vacante")+(D237=""),"",IFERROR(MATCH(D237,{"Oficinas";"Locales";"Estacionamientos";"Bodegas"},0),5)&amp;"|"&amp;B237&amp;"|"&amp;TEXT(G237,"yyyymmdd")&amp;"|"&amp;TEXT(H237,"yyyymmdd"))</f>
        <v>3|BOEHRINGER |-|20290430</v>
      </c>
      <c r="AE237" s="4"/>
      <c r="AF237" s="4"/>
    </row>
    <row r="238" spans="1:32" x14ac:dyDescent="0.2">
      <c r="A238" s="5">
        <v>-6</v>
      </c>
      <c r="B238" s="6" t="s">
        <v>185</v>
      </c>
      <c r="C238" s="6" t="s">
        <v>35</v>
      </c>
      <c r="D238" s="6" t="s">
        <v>10</v>
      </c>
      <c r="E238" s="5">
        <v>6105</v>
      </c>
      <c r="G238" s="9" t="s">
        <v>9</v>
      </c>
      <c r="H238" s="9">
        <v>47238</v>
      </c>
      <c r="I238" s="6" t="s">
        <v>2</v>
      </c>
      <c r="L238" s="18">
        <v>1</v>
      </c>
      <c r="M238" s="19">
        <v>4.5</v>
      </c>
      <c r="N238" s="18">
        <v>4.5</v>
      </c>
      <c r="T238" s="4"/>
      <c r="U238" s="4"/>
      <c r="V238" s="4"/>
      <c r="W238" s="4"/>
      <c r="X238" s="4"/>
      <c r="Y238" s="4"/>
      <c r="Z238" s="4"/>
      <c r="AA238" s="4"/>
      <c r="AD238" s="20" t="str">
        <f>IF((B238="")+(B238="Vacante")+(D238=""),"",IFERROR(MATCH(D238,{"Oficinas";"Locales";"Estacionamientos";"Bodegas"},0),5)&amp;"|"&amp;B238&amp;"|"&amp;TEXT(G238,"yyyymmdd")&amp;"|"&amp;TEXT(H238,"yyyymmdd"))</f>
        <v>3|BOEHRINGER |-|20290430</v>
      </c>
      <c r="AE238" s="4"/>
      <c r="AF238" s="4"/>
    </row>
    <row r="239" spans="1:32" x14ac:dyDescent="0.2">
      <c r="A239" s="5">
        <v>-6</v>
      </c>
      <c r="B239" s="6" t="s">
        <v>193</v>
      </c>
      <c r="C239" s="6" t="s">
        <v>24</v>
      </c>
      <c r="D239" s="6" t="s">
        <v>10</v>
      </c>
      <c r="E239" s="5">
        <v>6106</v>
      </c>
      <c r="G239" s="9" t="s">
        <v>9</v>
      </c>
      <c r="H239" s="9">
        <v>47528</v>
      </c>
      <c r="I239" s="6" t="s">
        <v>2</v>
      </c>
      <c r="L239" s="18">
        <v>1</v>
      </c>
      <c r="M239" s="19">
        <v>3</v>
      </c>
      <c r="N239" s="18">
        <v>3</v>
      </c>
      <c r="T239" s="4"/>
      <c r="U239" s="4"/>
      <c r="V239" s="4"/>
      <c r="W239" s="4"/>
      <c r="X239" s="4"/>
      <c r="Y239" s="4"/>
      <c r="Z239" s="4"/>
      <c r="AA239" s="4"/>
      <c r="AD239" s="20" t="str">
        <f>IF((B239="")+(B239="Vacante")+(D239=""),"",IFERROR(MATCH(D239,{"Oficinas";"Locales";"Estacionamientos";"Bodegas"},0),5)&amp;"|"&amp;B239&amp;"|"&amp;TEXT(G239,"yyyymmdd")&amp;"|"&amp;TEXT(H239,"yyyymmdd"))</f>
        <v>3|STELLANTIS|-|20300214</v>
      </c>
      <c r="AE239" s="4"/>
      <c r="AF239" s="4"/>
    </row>
    <row r="240" spans="1:32" x14ac:dyDescent="0.2">
      <c r="A240" s="5">
        <v>-6</v>
      </c>
      <c r="B240" s="6" t="s">
        <v>181</v>
      </c>
      <c r="C240" s="6" t="s">
        <v>44</v>
      </c>
      <c r="D240" s="6" t="s">
        <v>10</v>
      </c>
      <c r="E240" s="5">
        <v>6107</v>
      </c>
      <c r="G240" s="9">
        <v>46457</v>
      </c>
      <c r="H240" s="9">
        <v>47187</v>
      </c>
      <c r="I240" s="6" t="s">
        <v>2</v>
      </c>
      <c r="L240" s="18">
        <v>1</v>
      </c>
      <c r="M240" s="19">
        <v>4.3</v>
      </c>
      <c r="N240" s="18">
        <v>4.3</v>
      </c>
      <c r="T240" s="4"/>
      <c r="U240" s="4"/>
      <c r="V240" s="4"/>
      <c r="W240" s="4"/>
      <c r="X240" s="4"/>
      <c r="Y240" s="4"/>
      <c r="Z240" s="4"/>
      <c r="AA240" s="4"/>
      <c r="AD240" s="20" t="str">
        <f>IF((B240="")+(B240="Vacante")+(D240=""),"",IFERROR(MATCH(D240,{"Oficinas";"Locales";"Estacionamientos";"Bodegas"},0),5)&amp;"|"&amp;B240&amp;"|"&amp;TEXT(G240,"yyyymmdd")&amp;"|"&amp;TEXT(H240,"yyyymmdd"))</f>
        <v>3|PRICE FORBES |20270311|20290310</v>
      </c>
      <c r="AE240" s="4"/>
      <c r="AF240" s="4"/>
    </row>
    <row r="241" spans="1:32" x14ac:dyDescent="0.2">
      <c r="A241" s="5">
        <v>-6</v>
      </c>
      <c r="B241" s="6" t="s">
        <v>181</v>
      </c>
      <c r="C241" s="6" t="s">
        <v>44</v>
      </c>
      <c r="D241" s="6" t="s">
        <v>10</v>
      </c>
      <c r="E241" s="5">
        <v>6108</v>
      </c>
      <c r="G241" s="9">
        <v>46457</v>
      </c>
      <c r="H241" s="9">
        <v>47187</v>
      </c>
      <c r="I241" s="6" t="s">
        <v>2</v>
      </c>
      <c r="L241" s="18">
        <v>1</v>
      </c>
      <c r="M241" s="19">
        <v>4.3</v>
      </c>
      <c r="N241" s="18">
        <v>4.3</v>
      </c>
      <c r="T241" s="4"/>
      <c r="U241" s="4"/>
      <c r="V241" s="4"/>
      <c r="W241" s="4"/>
      <c r="X241" s="4"/>
      <c r="Y241" s="4"/>
      <c r="Z241" s="4"/>
      <c r="AA241" s="4"/>
      <c r="AD241" s="20" t="str">
        <f>IF((B241="")+(B241="Vacante")+(D241=""),"",IFERROR(MATCH(D241,{"Oficinas";"Locales";"Estacionamientos";"Bodegas"},0),5)&amp;"|"&amp;B241&amp;"|"&amp;TEXT(G241,"yyyymmdd")&amp;"|"&amp;TEXT(H241,"yyyymmdd"))</f>
        <v>3|PRICE FORBES |20270311|20290310</v>
      </c>
      <c r="AE241" s="4"/>
      <c r="AF241" s="4"/>
    </row>
    <row r="242" spans="1:32" x14ac:dyDescent="0.2">
      <c r="A242" s="5">
        <v>-6</v>
      </c>
      <c r="B242" s="6" t="s">
        <v>176</v>
      </c>
      <c r="C242" s="6" t="s">
        <v>47</v>
      </c>
      <c r="D242" s="6" t="s">
        <v>10</v>
      </c>
      <c r="E242" s="5">
        <v>6109</v>
      </c>
      <c r="G242" s="9" t="s">
        <v>9</v>
      </c>
      <c r="H242" s="9">
        <v>46538</v>
      </c>
      <c r="I242" s="6" t="s">
        <v>2</v>
      </c>
      <c r="L242" s="18">
        <v>1</v>
      </c>
      <c r="M242" s="19">
        <v>5</v>
      </c>
      <c r="N242" s="18">
        <v>5</v>
      </c>
      <c r="T242" s="4"/>
      <c r="U242" s="4"/>
      <c r="V242" s="4"/>
      <c r="W242" s="4"/>
      <c r="X242" s="4"/>
      <c r="Y242" s="4"/>
      <c r="Z242" s="4"/>
      <c r="AA242" s="4"/>
      <c r="AD242" s="20" t="str">
        <f>IF((B242="")+(B242="Vacante")+(D242=""),"",IFERROR(MATCH(D242,{"Oficinas";"Locales";"Estacionamientos";"Bodegas"},0),5)&amp;"|"&amp;B242&amp;"|"&amp;TEXT(G242,"yyyymmdd")&amp;"|"&amp;TEXT(H242,"yyyymmdd"))</f>
        <v>3|NUEVA ZELANDIA|-|20270531</v>
      </c>
      <c r="AE242" s="4"/>
      <c r="AF242" s="4"/>
    </row>
    <row r="243" spans="1:32" x14ac:dyDescent="0.2">
      <c r="A243" s="5">
        <v>-6</v>
      </c>
      <c r="B243" s="6" t="s">
        <v>176</v>
      </c>
      <c r="C243" s="6" t="s">
        <v>47</v>
      </c>
      <c r="D243" s="6" t="s">
        <v>10</v>
      </c>
      <c r="E243" s="5">
        <v>6110</v>
      </c>
      <c r="G243" s="9" t="s">
        <v>9</v>
      </c>
      <c r="H243" s="9">
        <v>46538</v>
      </c>
      <c r="I243" s="6" t="s">
        <v>2</v>
      </c>
      <c r="L243" s="18">
        <v>1</v>
      </c>
      <c r="M243" s="19">
        <v>5</v>
      </c>
      <c r="N243" s="18">
        <v>5</v>
      </c>
      <c r="T243" s="4"/>
      <c r="U243" s="4"/>
      <c r="V243" s="4"/>
      <c r="W243" s="4"/>
      <c r="X243" s="4"/>
      <c r="Y243" s="4"/>
      <c r="Z243" s="4"/>
      <c r="AA243" s="4"/>
      <c r="AD243" s="20" t="str">
        <f>IF((B243="")+(B243="Vacante")+(D243=""),"",IFERROR(MATCH(D243,{"Oficinas";"Locales";"Estacionamientos";"Bodegas"},0),5)&amp;"|"&amp;B243&amp;"|"&amp;TEXT(G243,"yyyymmdd")&amp;"|"&amp;TEXT(H243,"yyyymmdd"))</f>
        <v>3|NUEVA ZELANDIA|-|20270531</v>
      </c>
      <c r="AE243" s="4"/>
      <c r="AF243" s="4"/>
    </row>
    <row r="244" spans="1:32" x14ac:dyDescent="0.2">
      <c r="A244" s="5">
        <v>-6</v>
      </c>
      <c r="B244" s="6" t="s">
        <v>176</v>
      </c>
      <c r="C244" s="6" t="s">
        <v>47</v>
      </c>
      <c r="D244" s="6" t="s">
        <v>10</v>
      </c>
      <c r="E244" s="5">
        <v>6111</v>
      </c>
      <c r="G244" s="9" t="s">
        <v>9</v>
      </c>
      <c r="H244" s="9">
        <v>46538</v>
      </c>
      <c r="I244" s="6" t="s">
        <v>2</v>
      </c>
      <c r="L244" s="18">
        <v>1</v>
      </c>
      <c r="M244" s="19">
        <v>5</v>
      </c>
      <c r="N244" s="18">
        <v>5</v>
      </c>
      <c r="T244" s="4"/>
      <c r="U244" s="4"/>
      <c r="V244" s="4"/>
      <c r="W244" s="4"/>
      <c r="X244" s="4"/>
      <c r="Y244" s="4"/>
      <c r="Z244" s="4"/>
      <c r="AA244" s="4"/>
      <c r="AD244" s="20" t="str">
        <f>IF((B244="")+(B244="Vacante")+(D244=""),"",IFERROR(MATCH(D244,{"Oficinas";"Locales";"Estacionamientos";"Bodegas"},0),5)&amp;"|"&amp;B244&amp;"|"&amp;TEXT(G244,"yyyymmdd")&amp;"|"&amp;TEXT(H244,"yyyymmdd"))</f>
        <v>3|NUEVA ZELANDIA|-|20270531</v>
      </c>
      <c r="AE244" s="4"/>
      <c r="AF244" s="4"/>
    </row>
    <row r="245" spans="1:32" x14ac:dyDescent="0.2">
      <c r="A245" s="5">
        <v>-6</v>
      </c>
      <c r="B245" s="6" t="s">
        <v>181</v>
      </c>
      <c r="C245" s="6" t="s">
        <v>44</v>
      </c>
      <c r="D245" s="6" t="s">
        <v>10</v>
      </c>
      <c r="E245" s="5">
        <v>6112</v>
      </c>
      <c r="G245" s="9">
        <v>46457</v>
      </c>
      <c r="H245" s="9">
        <v>47187</v>
      </c>
      <c r="I245" s="6" t="s">
        <v>2</v>
      </c>
      <c r="L245" s="18">
        <v>1</v>
      </c>
      <c r="M245" s="19">
        <v>4.3</v>
      </c>
      <c r="N245" s="18">
        <v>4.3</v>
      </c>
      <c r="T245" s="4"/>
      <c r="U245" s="4"/>
      <c r="V245" s="4"/>
      <c r="W245" s="4"/>
      <c r="X245" s="4"/>
      <c r="Y245" s="4"/>
      <c r="Z245" s="4"/>
      <c r="AA245" s="4"/>
      <c r="AD245" s="20" t="str">
        <f>IF((B245="")+(B245="Vacante")+(D245=""),"",IFERROR(MATCH(D245,{"Oficinas";"Locales";"Estacionamientos";"Bodegas"},0),5)&amp;"|"&amp;B245&amp;"|"&amp;TEXT(G245,"yyyymmdd")&amp;"|"&amp;TEXT(H245,"yyyymmdd"))</f>
        <v>3|PRICE FORBES |20270311|20290310</v>
      </c>
      <c r="AE245" s="4"/>
      <c r="AF245" s="4"/>
    </row>
    <row r="246" spans="1:32" x14ac:dyDescent="0.2">
      <c r="A246" s="5">
        <v>-6</v>
      </c>
      <c r="B246" s="6" t="s">
        <v>185</v>
      </c>
      <c r="C246" s="6" t="s">
        <v>35</v>
      </c>
      <c r="D246" s="6" t="s">
        <v>10</v>
      </c>
      <c r="E246" s="5">
        <v>6113</v>
      </c>
      <c r="G246" s="9" t="s">
        <v>9</v>
      </c>
      <c r="H246" s="9">
        <v>47238</v>
      </c>
      <c r="I246" s="6" t="s">
        <v>2</v>
      </c>
      <c r="L246" s="18">
        <v>1</v>
      </c>
      <c r="M246" s="19">
        <v>4.5</v>
      </c>
      <c r="N246" s="18">
        <v>4.5</v>
      </c>
      <c r="T246" s="4"/>
      <c r="U246" s="4"/>
      <c r="V246" s="4"/>
      <c r="W246" s="4"/>
      <c r="X246" s="4"/>
      <c r="Y246" s="4"/>
      <c r="Z246" s="4"/>
      <c r="AA246" s="4"/>
      <c r="AD246" s="20" t="str">
        <f>IF((B246="")+(B246="Vacante")+(D246=""),"",IFERROR(MATCH(D246,{"Oficinas";"Locales";"Estacionamientos";"Bodegas"},0),5)&amp;"|"&amp;B246&amp;"|"&amp;TEXT(G246,"yyyymmdd")&amp;"|"&amp;TEXT(H246,"yyyymmdd"))</f>
        <v>3|BOEHRINGER |-|20290430</v>
      </c>
      <c r="AE246" s="4"/>
      <c r="AF246" s="4"/>
    </row>
    <row r="247" spans="1:32" x14ac:dyDescent="0.2">
      <c r="A247" s="5">
        <v>-6</v>
      </c>
      <c r="B247" s="6" t="s">
        <v>185</v>
      </c>
      <c r="C247" s="6" t="s">
        <v>35</v>
      </c>
      <c r="D247" s="6" t="s">
        <v>10</v>
      </c>
      <c r="E247" s="5">
        <v>6114</v>
      </c>
      <c r="G247" s="9" t="s">
        <v>9</v>
      </c>
      <c r="H247" s="9">
        <v>47238</v>
      </c>
      <c r="I247" s="6" t="s">
        <v>2</v>
      </c>
      <c r="L247" s="18">
        <v>1</v>
      </c>
      <c r="M247" s="19">
        <v>4.5</v>
      </c>
      <c r="N247" s="18">
        <v>4.5</v>
      </c>
      <c r="T247" s="4"/>
      <c r="U247" s="4"/>
      <c r="V247" s="4"/>
      <c r="W247" s="4"/>
      <c r="X247" s="4"/>
      <c r="Y247" s="4"/>
      <c r="Z247" s="4"/>
      <c r="AA247" s="4"/>
      <c r="AD247" s="20" t="str">
        <f>IF((B247="")+(B247="Vacante")+(D247=""),"",IFERROR(MATCH(D247,{"Oficinas";"Locales";"Estacionamientos";"Bodegas"},0),5)&amp;"|"&amp;B247&amp;"|"&amp;TEXT(G247,"yyyymmdd")&amp;"|"&amp;TEXT(H247,"yyyymmdd"))</f>
        <v>3|BOEHRINGER |-|20290430</v>
      </c>
      <c r="AE247" s="4"/>
      <c r="AF247" s="4"/>
    </row>
    <row r="248" spans="1:32" x14ac:dyDescent="0.2">
      <c r="A248" s="5">
        <v>-6</v>
      </c>
      <c r="B248" s="6" t="s">
        <v>185</v>
      </c>
      <c r="C248" s="6" t="s">
        <v>35</v>
      </c>
      <c r="D248" s="6" t="s">
        <v>10</v>
      </c>
      <c r="E248" s="5">
        <v>6115</v>
      </c>
      <c r="G248" s="9" t="s">
        <v>9</v>
      </c>
      <c r="H248" s="9">
        <v>47238</v>
      </c>
      <c r="I248" s="6" t="s">
        <v>2</v>
      </c>
      <c r="L248" s="18">
        <v>1</v>
      </c>
      <c r="M248" s="19">
        <v>4.5</v>
      </c>
      <c r="N248" s="18">
        <v>4.5</v>
      </c>
      <c r="T248" s="4"/>
      <c r="U248" s="4"/>
      <c r="V248" s="4"/>
      <c r="W248" s="4"/>
      <c r="X248" s="4"/>
      <c r="Y248" s="4"/>
      <c r="Z248" s="4"/>
      <c r="AA248" s="4"/>
      <c r="AD248" s="20" t="str">
        <f>IF((B248="")+(B248="Vacante")+(D248=""),"",IFERROR(MATCH(D248,{"Oficinas";"Locales";"Estacionamientos";"Bodegas"},0),5)&amp;"|"&amp;B248&amp;"|"&amp;TEXT(G248,"yyyymmdd")&amp;"|"&amp;TEXT(H248,"yyyymmdd"))</f>
        <v>3|BOEHRINGER |-|20290430</v>
      </c>
      <c r="AE248" s="4"/>
      <c r="AF248" s="4"/>
    </row>
    <row r="249" spans="1:32" x14ac:dyDescent="0.2">
      <c r="A249" s="5">
        <v>-6</v>
      </c>
      <c r="B249" s="6" t="s">
        <v>185</v>
      </c>
      <c r="C249" s="6" t="s">
        <v>35</v>
      </c>
      <c r="D249" s="6" t="s">
        <v>10</v>
      </c>
      <c r="E249" s="5">
        <v>6116</v>
      </c>
      <c r="G249" s="9" t="s">
        <v>9</v>
      </c>
      <c r="H249" s="9">
        <v>47238</v>
      </c>
      <c r="I249" s="6" t="s">
        <v>2</v>
      </c>
      <c r="L249" s="18">
        <v>1</v>
      </c>
      <c r="M249" s="19">
        <v>4.5</v>
      </c>
      <c r="N249" s="18">
        <v>4.5</v>
      </c>
      <c r="T249" s="4"/>
      <c r="U249" s="4"/>
      <c r="V249" s="4"/>
      <c r="W249" s="4"/>
      <c r="X249" s="4"/>
      <c r="Y249" s="4"/>
      <c r="Z249" s="4"/>
      <c r="AA249" s="4"/>
      <c r="AD249" s="20" t="str">
        <f>IF((B249="")+(B249="Vacante")+(D249=""),"",IFERROR(MATCH(D249,{"Oficinas";"Locales";"Estacionamientos";"Bodegas"},0),5)&amp;"|"&amp;B249&amp;"|"&amp;TEXT(G249,"yyyymmdd")&amp;"|"&amp;TEXT(H249,"yyyymmdd"))</f>
        <v>3|BOEHRINGER |-|20290430</v>
      </c>
      <c r="AE249" s="4"/>
      <c r="AF249" s="4"/>
    </row>
    <row r="250" spans="1:32" x14ac:dyDescent="0.2">
      <c r="A250" s="5">
        <v>-6</v>
      </c>
      <c r="B250" s="6" t="s">
        <v>185</v>
      </c>
      <c r="C250" s="6" t="s">
        <v>35</v>
      </c>
      <c r="D250" s="6" t="s">
        <v>10</v>
      </c>
      <c r="E250" s="5">
        <v>6117</v>
      </c>
      <c r="G250" s="9" t="s">
        <v>9</v>
      </c>
      <c r="H250" s="9">
        <v>47238</v>
      </c>
      <c r="I250" s="6" t="s">
        <v>2</v>
      </c>
      <c r="L250" s="18">
        <v>1</v>
      </c>
      <c r="M250" s="19">
        <v>4.5</v>
      </c>
      <c r="N250" s="18">
        <v>4.5</v>
      </c>
      <c r="T250" s="4"/>
      <c r="U250" s="4"/>
      <c r="V250" s="4"/>
      <c r="W250" s="4"/>
      <c r="X250" s="4"/>
      <c r="Y250" s="4"/>
      <c r="Z250" s="4"/>
      <c r="AA250" s="4"/>
      <c r="AD250" s="20" t="str">
        <f>IF((B250="")+(B250="Vacante")+(D250=""),"",IFERROR(MATCH(D250,{"Oficinas";"Locales";"Estacionamientos";"Bodegas"},0),5)&amp;"|"&amp;B250&amp;"|"&amp;TEXT(G250,"yyyymmdd")&amp;"|"&amp;TEXT(H250,"yyyymmdd"))</f>
        <v>3|BOEHRINGER |-|20290430</v>
      </c>
      <c r="AE250" s="4"/>
      <c r="AF250" s="4"/>
    </row>
    <row r="251" spans="1:32" x14ac:dyDescent="0.2">
      <c r="A251" s="5">
        <v>-6</v>
      </c>
      <c r="B251" s="6" t="s">
        <v>207</v>
      </c>
      <c r="C251" s="6" t="s">
        <v>48</v>
      </c>
      <c r="D251" s="6" t="s">
        <v>10</v>
      </c>
      <c r="E251" s="5">
        <v>6118</v>
      </c>
      <c r="F251" s="6" t="s">
        <v>104</v>
      </c>
      <c r="G251" s="9" t="s">
        <v>9</v>
      </c>
      <c r="H251" s="9">
        <v>47425</v>
      </c>
      <c r="I251" s="6" t="s">
        <v>2</v>
      </c>
      <c r="L251" s="18">
        <v>1</v>
      </c>
      <c r="M251" s="19">
        <v>4</v>
      </c>
      <c r="N251" s="18">
        <v>4</v>
      </c>
      <c r="T251" s="4"/>
      <c r="U251" s="4"/>
      <c r="V251" s="4"/>
      <c r="W251" s="4"/>
      <c r="X251" s="4"/>
      <c r="Y251" s="4"/>
      <c r="Z251" s="4"/>
      <c r="AA251" s="4"/>
      <c r="AD251" s="20" t="str">
        <f>IF((B251="")+(B251="Vacante")+(D251=""),"",IFERROR(MATCH(D251,{"Oficinas";"Locales";"Estacionamientos";"Bodegas"},0),5)&amp;"|"&amp;B251&amp;"|"&amp;TEXT(G251,"yyyymmdd")&amp;"|"&amp;TEXT(H251,"yyyymmdd"))</f>
        <v>3|BIORITMO|-|20291103</v>
      </c>
      <c r="AE251" s="4"/>
      <c r="AF251" s="4"/>
    </row>
    <row r="252" spans="1:32" x14ac:dyDescent="0.2">
      <c r="A252" s="5">
        <v>-6</v>
      </c>
      <c r="B252" s="6" t="s">
        <v>207</v>
      </c>
      <c r="C252" s="6" t="s">
        <v>48</v>
      </c>
      <c r="D252" s="6" t="s">
        <v>10</v>
      </c>
      <c r="E252" s="5">
        <v>6119</v>
      </c>
      <c r="F252" s="6" t="s">
        <v>104</v>
      </c>
      <c r="G252" s="9" t="s">
        <v>9</v>
      </c>
      <c r="H252" s="9">
        <v>47425</v>
      </c>
      <c r="I252" s="6" t="s">
        <v>2</v>
      </c>
      <c r="L252" s="18">
        <v>1</v>
      </c>
      <c r="M252" s="19">
        <v>6.72</v>
      </c>
      <c r="N252" s="18">
        <v>6.72</v>
      </c>
      <c r="T252" s="4"/>
      <c r="U252" s="4"/>
      <c r="V252" s="4"/>
      <c r="W252" s="4"/>
      <c r="X252" s="4"/>
      <c r="Y252" s="4"/>
      <c r="Z252" s="4"/>
      <c r="AA252" s="4"/>
      <c r="AD252" s="20" t="str">
        <f>IF((B252="")+(B252="Vacante")+(D252=""),"",IFERROR(MATCH(D252,{"Oficinas";"Locales";"Estacionamientos";"Bodegas"},0),5)&amp;"|"&amp;B252&amp;"|"&amp;TEXT(G252,"yyyymmdd")&amp;"|"&amp;TEXT(H252,"yyyymmdd"))</f>
        <v>3|BIORITMO|-|20291103</v>
      </c>
      <c r="AE252" s="4"/>
      <c r="AF252" s="4"/>
    </row>
    <row r="253" spans="1:32" x14ac:dyDescent="0.2">
      <c r="A253" s="5">
        <v>-6</v>
      </c>
      <c r="B253" s="6" t="s">
        <v>208</v>
      </c>
      <c r="C253" s="6" t="s">
        <v>49</v>
      </c>
      <c r="D253" s="6" t="s">
        <v>10</v>
      </c>
      <c r="E253" s="5">
        <v>6120</v>
      </c>
      <c r="F253" s="6" t="s">
        <v>104</v>
      </c>
      <c r="G253" s="9" t="s">
        <v>9</v>
      </c>
      <c r="H253" s="9">
        <v>47497</v>
      </c>
      <c r="I253" s="6" t="s">
        <v>2</v>
      </c>
      <c r="L253" s="18">
        <v>1</v>
      </c>
      <c r="M253" s="19">
        <v>6.7</v>
      </c>
      <c r="N253" s="18">
        <v>6.7</v>
      </c>
      <c r="T253" s="4"/>
      <c r="U253" s="4"/>
      <c r="V253" s="4"/>
      <c r="W253" s="4"/>
      <c r="X253" s="4"/>
      <c r="Y253" s="4"/>
      <c r="Z253" s="4"/>
      <c r="AA253" s="4"/>
      <c r="AD253" s="20" t="str">
        <f>IF((B253="")+(B253="Vacante")+(D253=""),"",IFERROR(MATCH(D253,{"Oficinas";"Locales";"Estacionamientos";"Bodegas"},0),5)&amp;"|"&amp;B253&amp;"|"&amp;TEXT(G253,"yyyymmdd")&amp;"|"&amp;TEXT(H253,"yyyymmdd"))</f>
        <v>3|THE BOSS|-|20300114</v>
      </c>
      <c r="AE253" s="4"/>
      <c r="AF253" s="4"/>
    </row>
    <row r="254" spans="1:32" x14ac:dyDescent="0.2">
      <c r="A254" s="5">
        <v>-6</v>
      </c>
      <c r="B254" s="6" t="s">
        <v>208</v>
      </c>
      <c r="C254" s="6" t="s">
        <v>49</v>
      </c>
      <c r="D254" s="6" t="s">
        <v>10</v>
      </c>
      <c r="E254" s="5">
        <v>6121</v>
      </c>
      <c r="F254" s="6" t="s">
        <v>104</v>
      </c>
      <c r="G254" s="9" t="s">
        <v>9</v>
      </c>
      <c r="H254" s="9">
        <v>47497</v>
      </c>
      <c r="I254" s="6" t="s">
        <v>2</v>
      </c>
      <c r="L254" s="18">
        <v>1</v>
      </c>
      <c r="M254" s="19">
        <v>6.7</v>
      </c>
      <c r="N254" s="18">
        <v>6.7</v>
      </c>
      <c r="T254" s="4"/>
      <c r="U254" s="4"/>
      <c r="V254" s="4"/>
      <c r="W254" s="4"/>
      <c r="X254" s="4"/>
      <c r="Y254" s="4"/>
      <c r="Z254" s="4"/>
      <c r="AA254" s="4"/>
      <c r="AD254" s="20" t="str">
        <f>IF((B254="")+(B254="Vacante")+(D254=""),"",IFERROR(MATCH(D254,{"Oficinas";"Locales";"Estacionamientos";"Bodegas"},0),5)&amp;"|"&amp;B254&amp;"|"&amp;TEXT(G254,"yyyymmdd")&amp;"|"&amp;TEXT(H254,"yyyymmdd"))</f>
        <v>3|THE BOSS|-|20300114</v>
      </c>
      <c r="AE254" s="4"/>
      <c r="AF254" s="4"/>
    </row>
    <row r="255" spans="1:32" x14ac:dyDescent="0.2">
      <c r="A255" s="5">
        <v>-6</v>
      </c>
      <c r="B255" s="6" t="s">
        <v>187</v>
      </c>
      <c r="C255" s="6" t="s">
        <v>33</v>
      </c>
      <c r="D255" s="6" t="s">
        <v>10</v>
      </c>
      <c r="E255" s="5">
        <v>6122</v>
      </c>
      <c r="G255" s="9" t="s">
        <v>9</v>
      </c>
      <c r="H255" s="9">
        <v>47542</v>
      </c>
      <c r="I255" s="6" t="s">
        <v>2</v>
      </c>
      <c r="L255" s="18">
        <v>1</v>
      </c>
      <c r="M255" s="19">
        <v>4.3</v>
      </c>
      <c r="N255" s="18">
        <v>4.3</v>
      </c>
      <c r="T255" s="4"/>
      <c r="U255" s="4"/>
      <c r="V255" s="4"/>
      <c r="W255" s="4"/>
      <c r="X255" s="4"/>
      <c r="Y255" s="4"/>
      <c r="Z255" s="4"/>
      <c r="AA255" s="4"/>
      <c r="AD255" s="20" t="str">
        <f>IF((B255="")+(B255="Vacante")+(D255=""),"",IFERROR(MATCH(D255,{"Oficinas";"Locales";"Estacionamientos";"Bodegas"},0),5)&amp;"|"&amp;B255&amp;"|"&amp;TEXT(G255,"yyyymmdd")&amp;"|"&amp;TEXT(H255,"yyyymmdd"))</f>
        <v>3|AHK|-|20300228</v>
      </c>
      <c r="AE255" s="4"/>
      <c r="AF255" s="4"/>
    </row>
    <row r="256" spans="1:32" x14ac:dyDescent="0.2">
      <c r="A256" s="5">
        <v>-6</v>
      </c>
      <c r="B256" s="6" t="s">
        <v>187</v>
      </c>
      <c r="C256" s="6" t="s">
        <v>33</v>
      </c>
      <c r="D256" s="6" t="s">
        <v>10</v>
      </c>
      <c r="E256" s="5">
        <v>6123</v>
      </c>
      <c r="G256" s="9" t="s">
        <v>9</v>
      </c>
      <c r="H256" s="9">
        <v>47542</v>
      </c>
      <c r="I256" s="6" t="s">
        <v>2</v>
      </c>
      <c r="L256" s="18">
        <v>1</v>
      </c>
      <c r="M256" s="19">
        <v>4.3</v>
      </c>
      <c r="N256" s="18">
        <v>4.3</v>
      </c>
      <c r="T256" s="4"/>
      <c r="U256" s="4"/>
      <c r="V256" s="4"/>
      <c r="W256" s="4"/>
      <c r="X256" s="4"/>
      <c r="Y256" s="4"/>
      <c r="Z256" s="4"/>
      <c r="AA256" s="4"/>
      <c r="AD256" s="20" t="str">
        <f>IF((B256="")+(B256="Vacante")+(D256=""),"",IFERROR(MATCH(D256,{"Oficinas";"Locales";"Estacionamientos";"Bodegas"},0),5)&amp;"|"&amp;B256&amp;"|"&amp;TEXT(G256,"yyyymmdd")&amp;"|"&amp;TEXT(H256,"yyyymmdd"))</f>
        <v>3|AHK|-|20300228</v>
      </c>
      <c r="AE256" s="4"/>
      <c r="AF256" s="4"/>
    </row>
    <row r="257" spans="1:32" x14ac:dyDescent="0.2">
      <c r="A257" s="5">
        <v>-6</v>
      </c>
      <c r="B257" s="6" t="s">
        <v>187</v>
      </c>
      <c r="C257" s="6" t="s">
        <v>33</v>
      </c>
      <c r="D257" s="6" t="s">
        <v>10</v>
      </c>
      <c r="E257" s="5">
        <v>6124</v>
      </c>
      <c r="G257" s="9" t="s">
        <v>9</v>
      </c>
      <c r="H257" s="9">
        <v>47542</v>
      </c>
      <c r="I257" s="6" t="s">
        <v>2</v>
      </c>
      <c r="L257" s="18">
        <v>1</v>
      </c>
      <c r="M257" s="19">
        <v>4.3</v>
      </c>
      <c r="N257" s="18">
        <v>4.3</v>
      </c>
      <c r="T257" s="4"/>
      <c r="U257" s="4"/>
      <c r="V257" s="4"/>
      <c r="W257" s="4"/>
      <c r="X257" s="4"/>
      <c r="Y257" s="4"/>
      <c r="Z257" s="4"/>
      <c r="AA257" s="4"/>
      <c r="AD257" s="20" t="str">
        <f>IF((B257="")+(B257="Vacante")+(D257=""),"",IFERROR(MATCH(D257,{"Oficinas";"Locales";"Estacionamientos";"Bodegas"},0),5)&amp;"|"&amp;B257&amp;"|"&amp;TEXT(G257,"yyyymmdd")&amp;"|"&amp;TEXT(H257,"yyyymmdd"))</f>
        <v>3|AHK|-|20300228</v>
      </c>
      <c r="AE257" s="4"/>
      <c r="AF257" s="4"/>
    </row>
    <row r="258" spans="1:32" x14ac:dyDescent="0.2">
      <c r="A258" s="5">
        <v>-6</v>
      </c>
      <c r="B258" s="6" t="s">
        <v>187</v>
      </c>
      <c r="C258" s="6" t="s">
        <v>33</v>
      </c>
      <c r="D258" s="6" t="s">
        <v>10</v>
      </c>
      <c r="E258" s="5">
        <v>6125</v>
      </c>
      <c r="G258" s="9" t="s">
        <v>9</v>
      </c>
      <c r="H258" s="9">
        <v>47542</v>
      </c>
      <c r="I258" s="6" t="s">
        <v>2</v>
      </c>
      <c r="L258" s="18">
        <v>1</v>
      </c>
      <c r="M258" s="19">
        <v>4.3</v>
      </c>
      <c r="N258" s="18">
        <v>4.3</v>
      </c>
      <c r="T258" s="4"/>
      <c r="U258" s="4"/>
      <c r="V258" s="4"/>
      <c r="W258" s="4"/>
      <c r="X258" s="4"/>
      <c r="Y258" s="4"/>
      <c r="Z258" s="4"/>
      <c r="AA258" s="4"/>
      <c r="AD258" s="20" t="str">
        <f>IF((B258="")+(B258="Vacante")+(D258=""),"",IFERROR(MATCH(D258,{"Oficinas";"Locales";"Estacionamientos";"Bodegas"},0),5)&amp;"|"&amp;B258&amp;"|"&amp;TEXT(G258,"yyyymmdd")&amp;"|"&amp;TEXT(H258,"yyyymmdd"))</f>
        <v>3|AHK|-|20300228</v>
      </c>
      <c r="AE258" s="4"/>
      <c r="AF258" s="4"/>
    </row>
    <row r="259" spans="1:32" x14ac:dyDescent="0.2">
      <c r="A259" s="5">
        <v>-6</v>
      </c>
      <c r="B259" s="6" t="s">
        <v>181</v>
      </c>
      <c r="C259" s="6" t="s">
        <v>44</v>
      </c>
      <c r="D259" s="6" t="s">
        <v>10</v>
      </c>
      <c r="E259" s="5">
        <v>6126</v>
      </c>
      <c r="F259" s="6" t="s">
        <v>104</v>
      </c>
      <c r="G259" s="9">
        <v>46457</v>
      </c>
      <c r="H259" s="9">
        <v>47187</v>
      </c>
      <c r="I259" s="6" t="s">
        <v>2</v>
      </c>
      <c r="L259" s="18">
        <v>1</v>
      </c>
      <c r="M259" s="19">
        <v>5</v>
      </c>
      <c r="N259" s="18">
        <v>5</v>
      </c>
      <c r="T259" s="4"/>
      <c r="U259" s="4"/>
      <c r="V259" s="4"/>
      <c r="W259" s="4"/>
      <c r="X259" s="4"/>
      <c r="Y259" s="4"/>
      <c r="Z259" s="4"/>
      <c r="AA259" s="4"/>
      <c r="AD259" s="20" t="str">
        <f>IF((B259="")+(B259="Vacante")+(D259=""),"",IFERROR(MATCH(D259,{"Oficinas";"Locales";"Estacionamientos";"Bodegas"},0),5)&amp;"|"&amp;B259&amp;"|"&amp;TEXT(G259,"yyyymmdd")&amp;"|"&amp;TEXT(H259,"yyyymmdd"))</f>
        <v>3|PRICE FORBES |20270311|20290310</v>
      </c>
      <c r="AE259" s="4"/>
      <c r="AF259" s="4"/>
    </row>
    <row r="260" spans="1:32" x14ac:dyDescent="0.2">
      <c r="A260" s="5">
        <v>-6</v>
      </c>
      <c r="B260" s="6" t="s">
        <v>185</v>
      </c>
      <c r="C260" s="6" t="s">
        <v>35</v>
      </c>
      <c r="D260" s="6" t="s">
        <v>10</v>
      </c>
      <c r="E260" s="5">
        <v>6127</v>
      </c>
      <c r="G260" s="9" t="s">
        <v>9</v>
      </c>
      <c r="H260" s="9">
        <v>47238</v>
      </c>
      <c r="I260" s="6" t="s">
        <v>2</v>
      </c>
      <c r="L260" s="18">
        <v>1</v>
      </c>
      <c r="M260" s="19">
        <v>4.5</v>
      </c>
      <c r="N260" s="18">
        <v>4.5</v>
      </c>
      <c r="T260" s="4"/>
      <c r="U260" s="4"/>
      <c r="V260" s="4"/>
      <c r="W260" s="4"/>
      <c r="X260" s="4"/>
      <c r="Y260" s="4"/>
      <c r="Z260" s="4"/>
      <c r="AA260" s="4"/>
      <c r="AD260" s="20" t="str">
        <f>IF((B260="")+(B260="Vacante")+(D260=""),"",IFERROR(MATCH(D260,{"Oficinas";"Locales";"Estacionamientos";"Bodegas"},0),5)&amp;"|"&amp;B260&amp;"|"&amp;TEXT(G260,"yyyymmdd")&amp;"|"&amp;TEXT(H260,"yyyymmdd"))</f>
        <v>3|BOEHRINGER |-|20290430</v>
      </c>
      <c r="AE260" s="4"/>
      <c r="AF260" s="4"/>
    </row>
    <row r="261" spans="1:32" x14ac:dyDescent="0.2">
      <c r="A261" s="5">
        <v>-6</v>
      </c>
      <c r="B261" s="6" t="s">
        <v>185</v>
      </c>
      <c r="C261" s="6" t="s">
        <v>35</v>
      </c>
      <c r="D261" s="6" t="s">
        <v>10</v>
      </c>
      <c r="E261" s="5">
        <v>6128</v>
      </c>
      <c r="G261" s="9" t="s">
        <v>9</v>
      </c>
      <c r="H261" s="9">
        <v>47238</v>
      </c>
      <c r="I261" s="6" t="s">
        <v>2</v>
      </c>
      <c r="L261" s="18">
        <v>1</v>
      </c>
      <c r="M261" s="19">
        <v>4.5</v>
      </c>
      <c r="N261" s="18">
        <v>4.5</v>
      </c>
      <c r="T261" s="4"/>
      <c r="U261" s="4"/>
      <c r="V261" s="4"/>
      <c r="W261" s="4"/>
      <c r="X261" s="4"/>
      <c r="Y261" s="4"/>
      <c r="Z261" s="4"/>
      <c r="AA261" s="4"/>
      <c r="AD261" s="20" t="str">
        <f>IF((B261="")+(B261="Vacante")+(D261=""),"",IFERROR(MATCH(D261,{"Oficinas";"Locales";"Estacionamientos";"Bodegas"},0),5)&amp;"|"&amp;B261&amp;"|"&amp;TEXT(G261,"yyyymmdd")&amp;"|"&amp;TEXT(H261,"yyyymmdd"))</f>
        <v>3|BOEHRINGER |-|20290430</v>
      </c>
      <c r="AE261" s="4"/>
      <c r="AF261" s="4"/>
    </row>
    <row r="262" spans="1:32" x14ac:dyDescent="0.2">
      <c r="A262" s="5">
        <v>-6</v>
      </c>
      <c r="B262" s="6" t="s">
        <v>184</v>
      </c>
      <c r="C262" s="6" t="s">
        <v>36</v>
      </c>
      <c r="D262" s="6" t="s">
        <v>10</v>
      </c>
      <c r="E262" s="5">
        <v>6129</v>
      </c>
      <c r="G262" s="9" t="s">
        <v>9</v>
      </c>
      <c r="H262" s="9">
        <v>46222</v>
      </c>
      <c r="I262" s="6" t="s">
        <v>2</v>
      </c>
      <c r="L262" s="18">
        <v>1</v>
      </c>
      <c r="M262" s="19">
        <v>3.5</v>
      </c>
      <c r="N262" s="18">
        <v>3.5</v>
      </c>
      <c r="T262" s="4"/>
      <c r="U262" s="4"/>
      <c r="V262" s="4"/>
      <c r="W262" s="4"/>
      <c r="X262" s="4"/>
      <c r="Y262" s="4"/>
      <c r="Z262" s="4"/>
      <c r="AA262" s="4"/>
      <c r="AD262" s="20" t="str">
        <f>IF((B262="")+(B262="Vacante")+(D262=""),"",IFERROR(MATCH(D262,{"Oficinas";"Locales";"Estacionamientos";"Bodegas"},0),5)&amp;"|"&amp;B262&amp;"|"&amp;TEXT(G262,"yyyymmdd")&amp;"|"&amp;TEXT(H262,"yyyymmdd"))</f>
        <v>3|DEVON|-|20260719</v>
      </c>
      <c r="AE262" s="4"/>
      <c r="AF262" s="4"/>
    </row>
    <row r="263" spans="1:32" x14ac:dyDescent="0.2">
      <c r="A263" s="5">
        <v>-6</v>
      </c>
      <c r="B263" s="6" t="s">
        <v>184</v>
      </c>
      <c r="C263" s="6" t="s">
        <v>36</v>
      </c>
      <c r="D263" s="6" t="s">
        <v>10</v>
      </c>
      <c r="E263" s="5">
        <v>6130</v>
      </c>
      <c r="G263" s="9" t="s">
        <v>9</v>
      </c>
      <c r="H263" s="9">
        <v>46222</v>
      </c>
      <c r="I263" s="6" t="s">
        <v>2</v>
      </c>
      <c r="L263" s="18">
        <v>1</v>
      </c>
      <c r="M263" s="19">
        <v>3.5</v>
      </c>
      <c r="N263" s="18">
        <v>3.5</v>
      </c>
      <c r="T263" s="4"/>
      <c r="U263" s="4"/>
      <c r="V263" s="4"/>
      <c r="W263" s="4"/>
      <c r="X263" s="4"/>
      <c r="Y263" s="4"/>
      <c r="Z263" s="4"/>
      <c r="AA263" s="4"/>
      <c r="AD263" s="20" t="str">
        <f>IF((B263="")+(B263="Vacante")+(D263=""),"",IFERROR(MATCH(D263,{"Oficinas";"Locales";"Estacionamientos";"Bodegas"},0),5)&amp;"|"&amp;B263&amp;"|"&amp;TEXT(G263,"yyyymmdd")&amp;"|"&amp;TEXT(H263,"yyyymmdd"))</f>
        <v>3|DEVON|-|20260719</v>
      </c>
      <c r="AE263" s="4"/>
      <c r="AF263" s="4"/>
    </row>
    <row r="264" spans="1:32" x14ac:dyDescent="0.2">
      <c r="A264" s="5">
        <v>-6</v>
      </c>
      <c r="B264" s="6" t="s">
        <v>4</v>
      </c>
      <c r="C264" s="6" t="s">
        <v>4</v>
      </c>
      <c r="D264" s="6" t="s">
        <v>10</v>
      </c>
      <c r="E264" s="5">
        <v>6131</v>
      </c>
      <c r="F264" s="6" t="s">
        <v>120</v>
      </c>
      <c r="G264" s="9" t="s">
        <v>9</v>
      </c>
      <c r="H264" s="9" t="s">
        <v>9</v>
      </c>
      <c r="I264" s="6" t="s">
        <v>2</v>
      </c>
      <c r="L264" s="18">
        <v>1</v>
      </c>
      <c r="M264" s="19">
        <v>0</v>
      </c>
      <c r="N264" s="18">
        <v>0</v>
      </c>
      <c r="T264" s="4"/>
      <c r="U264" s="4"/>
      <c r="V264" s="4"/>
      <c r="W264" s="4"/>
      <c r="X264" s="4"/>
      <c r="Y264" s="4"/>
      <c r="Z264" s="4"/>
      <c r="AA264" s="4"/>
      <c r="AD264" s="20" t="str">
        <f>IF((B264="")+(B264="Vacante")+(D264=""),"",IFERROR(MATCH(D264,{"Oficinas";"Locales";"Estacionamientos";"Bodegas"},0),5)&amp;"|"&amp;B264&amp;"|"&amp;TEXT(G264,"yyyymmdd")&amp;"|"&amp;TEXT(H264,"yyyymmdd"))</f>
        <v/>
      </c>
      <c r="AE264" s="4"/>
      <c r="AF264" s="4"/>
    </row>
    <row r="265" spans="1:32" x14ac:dyDescent="0.2">
      <c r="A265" s="5">
        <v>-6</v>
      </c>
      <c r="B265" s="6" t="s">
        <v>177</v>
      </c>
      <c r="C265" s="6" t="s">
        <v>121</v>
      </c>
      <c r="D265" s="6" t="s">
        <v>10</v>
      </c>
      <c r="E265" s="5">
        <v>6132</v>
      </c>
      <c r="F265" s="6" t="s">
        <v>104</v>
      </c>
      <c r="G265" s="9" t="s">
        <v>9</v>
      </c>
      <c r="H265" s="9">
        <v>46142</v>
      </c>
      <c r="I265" s="6" t="s">
        <v>2</v>
      </c>
      <c r="L265" s="18">
        <v>1</v>
      </c>
      <c r="M265" s="19">
        <v>6</v>
      </c>
      <c r="N265" s="18">
        <v>6</v>
      </c>
      <c r="T265" s="4"/>
      <c r="U265" s="4"/>
      <c r="V265" s="4"/>
      <c r="W265" s="4"/>
      <c r="X265" s="4"/>
      <c r="Y265" s="4"/>
      <c r="Z265" s="4"/>
      <c r="AA265" s="4"/>
      <c r="AD265" s="20" t="str">
        <f>IF((B265="")+(B265="Vacante")+(D265=""),"",IFERROR(MATCH(D265,{"Oficinas";"Locales";"Estacionamientos";"Bodegas"},0),5)&amp;"|"&amp;B265&amp;"|"&amp;TEXT(G265,"yyyymmdd")&amp;"|"&amp;TEXT(H265,"yyyymmdd"))</f>
        <v>3|UKA CHILE|-|20260430</v>
      </c>
      <c r="AE265" s="4"/>
      <c r="AF265" s="4"/>
    </row>
    <row r="266" spans="1:32" x14ac:dyDescent="0.2">
      <c r="A266" s="5">
        <v>-6</v>
      </c>
      <c r="B266" s="6" t="s">
        <v>177</v>
      </c>
      <c r="C266" s="6" t="s">
        <v>121</v>
      </c>
      <c r="D266" s="6" t="s">
        <v>10</v>
      </c>
      <c r="E266" s="5">
        <v>6133</v>
      </c>
      <c r="F266" s="6" t="s">
        <v>104</v>
      </c>
      <c r="G266" s="9" t="s">
        <v>9</v>
      </c>
      <c r="H266" s="9">
        <v>46142</v>
      </c>
      <c r="I266" s="6" t="s">
        <v>2</v>
      </c>
      <c r="L266" s="18">
        <v>1</v>
      </c>
      <c r="M266" s="19">
        <v>6</v>
      </c>
      <c r="N266" s="18">
        <v>6</v>
      </c>
      <c r="T266" s="4"/>
      <c r="U266" s="4"/>
      <c r="V266" s="4"/>
      <c r="W266" s="4"/>
      <c r="X266" s="4"/>
      <c r="Y266" s="4"/>
      <c r="Z266" s="4"/>
      <c r="AA266" s="4"/>
      <c r="AD266" s="20" t="str">
        <f>IF((B266="")+(B266="Vacante")+(D266=""),"",IFERROR(MATCH(D266,{"Oficinas";"Locales";"Estacionamientos";"Bodegas"},0),5)&amp;"|"&amp;B266&amp;"|"&amp;TEXT(G266,"yyyymmdd")&amp;"|"&amp;TEXT(H266,"yyyymmdd"))</f>
        <v>3|UKA CHILE|-|20260430</v>
      </c>
      <c r="AE266" s="4"/>
      <c r="AF266" s="4"/>
    </row>
    <row r="267" spans="1:32" x14ac:dyDescent="0.2">
      <c r="A267" s="5">
        <v>-6</v>
      </c>
      <c r="B267" s="6" t="s">
        <v>177</v>
      </c>
      <c r="C267" s="6" t="s">
        <v>121</v>
      </c>
      <c r="D267" s="6" t="s">
        <v>10</v>
      </c>
      <c r="E267" s="5">
        <v>6134</v>
      </c>
      <c r="F267" s="6" t="s">
        <v>104</v>
      </c>
      <c r="G267" s="9" t="s">
        <v>9</v>
      </c>
      <c r="H267" s="9">
        <v>46142</v>
      </c>
      <c r="I267" s="6" t="s">
        <v>2</v>
      </c>
      <c r="L267" s="18">
        <v>1</v>
      </c>
      <c r="M267" s="19">
        <v>6</v>
      </c>
      <c r="N267" s="18">
        <v>6</v>
      </c>
      <c r="T267" s="4"/>
      <c r="U267" s="4"/>
      <c r="V267" s="4"/>
      <c r="W267" s="4"/>
      <c r="X267" s="4"/>
      <c r="Y267" s="4"/>
      <c r="Z267" s="4"/>
      <c r="AA267" s="4"/>
      <c r="AD267" s="20" t="str">
        <f>IF((B267="")+(B267="Vacante")+(D267=""),"",IFERROR(MATCH(D267,{"Oficinas";"Locales";"Estacionamientos";"Bodegas"},0),5)&amp;"|"&amp;B267&amp;"|"&amp;TEXT(G267,"yyyymmdd")&amp;"|"&amp;TEXT(H267,"yyyymmdd"))</f>
        <v>3|UKA CHILE|-|20260430</v>
      </c>
      <c r="AE267" s="4"/>
      <c r="AF267" s="4"/>
    </row>
    <row r="268" spans="1:32" x14ac:dyDescent="0.2">
      <c r="A268" s="5">
        <v>-6</v>
      </c>
      <c r="B268" s="6" t="s">
        <v>178</v>
      </c>
      <c r="C268" s="6" t="s">
        <v>46</v>
      </c>
      <c r="D268" s="6" t="s">
        <v>10</v>
      </c>
      <c r="E268" s="5">
        <v>6135</v>
      </c>
      <c r="F268" s="6" t="s">
        <v>122</v>
      </c>
      <c r="G268" s="9" t="s">
        <v>9</v>
      </c>
      <c r="H268" s="9">
        <v>47831</v>
      </c>
      <c r="I268" s="6" t="s">
        <v>2</v>
      </c>
      <c r="L268" s="18">
        <v>1</v>
      </c>
      <c r="M268" s="19">
        <v>6</v>
      </c>
      <c r="N268" s="18">
        <v>6</v>
      </c>
      <c r="T268" s="4"/>
      <c r="U268" s="4"/>
      <c r="V268" s="4"/>
      <c r="W268" s="4"/>
      <c r="X268" s="4"/>
      <c r="Y268" s="4"/>
      <c r="Z268" s="4"/>
      <c r="AA268" s="4"/>
      <c r="AD268" s="20" t="str">
        <f>IF((B268="")+(B268="Vacante")+(D268=""),"",IFERROR(MATCH(D268,{"Oficinas";"Locales";"Estacionamientos";"Bodegas"},0),5)&amp;"|"&amp;B268&amp;"|"&amp;TEXT(G268,"yyyymmdd")&amp;"|"&amp;TEXT(H268,"yyyymmdd"))</f>
        <v>3|LANDMARK |-|20301214</v>
      </c>
      <c r="AE268" s="4"/>
      <c r="AF268" s="4"/>
    </row>
    <row r="269" spans="1:32" x14ac:dyDescent="0.2">
      <c r="A269" s="5">
        <v>-6</v>
      </c>
      <c r="B269" s="6" t="s">
        <v>198</v>
      </c>
      <c r="C269" s="6" t="s">
        <v>61</v>
      </c>
      <c r="D269" s="6" t="s">
        <v>10</v>
      </c>
      <c r="E269" s="5">
        <v>6136</v>
      </c>
      <c r="G269" s="9">
        <v>46522</v>
      </c>
      <c r="H269" s="9">
        <v>47361</v>
      </c>
      <c r="I269" s="6" t="s">
        <v>2</v>
      </c>
      <c r="L269" s="18">
        <v>1</v>
      </c>
      <c r="M269" s="19">
        <v>4</v>
      </c>
      <c r="N269" s="18">
        <v>4</v>
      </c>
      <c r="T269" s="4"/>
      <c r="U269" s="4"/>
      <c r="V269" s="4"/>
      <c r="W269" s="4"/>
      <c r="X269" s="4"/>
      <c r="Y269" s="4"/>
      <c r="Z269" s="4"/>
      <c r="AA269" s="4"/>
      <c r="AD269" s="20" t="str">
        <f>IF((B269="")+(B269="Vacante")+(D269=""),"",IFERROR(MATCH(D269,{"Oficinas";"Locales";"Estacionamientos";"Bodegas"},0),5)&amp;"|"&amp;B269&amp;"|"&amp;TEXT(G269,"yyyymmdd")&amp;"|"&amp;TEXT(H269,"yyyymmdd"))</f>
        <v>3|DEUTSCHE PHARMA|20270515|20290831</v>
      </c>
      <c r="AE269" s="4"/>
      <c r="AF269" s="4"/>
    </row>
    <row r="270" spans="1:32" x14ac:dyDescent="0.2">
      <c r="A270" s="5">
        <v>-6</v>
      </c>
      <c r="B270" s="6" t="s">
        <v>198</v>
      </c>
      <c r="C270" s="6" t="s">
        <v>61</v>
      </c>
      <c r="D270" s="6" t="s">
        <v>10</v>
      </c>
      <c r="E270" s="5">
        <v>6137</v>
      </c>
      <c r="G270" s="9">
        <v>46522</v>
      </c>
      <c r="H270" s="9">
        <v>47361</v>
      </c>
      <c r="I270" s="6" t="s">
        <v>2</v>
      </c>
      <c r="L270" s="18">
        <v>1</v>
      </c>
      <c r="M270" s="19">
        <v>4</v>
      </c>
      <c r="N270" s="18">
        <v>4</v>
      </c>
      <c r="T270" s="4"/>
      <c r="U270" s="4"/>
      <c r="V270" s="4"/>
      <c r="W270" s="4"/>
      <c r="X270" s="4"/>
      <c r="Y270" s="4"/>
      <c r="Z270" s="4"/>
      <c r="AA270" s="4"/>
      <c r="AD270" s="20" t="str">
        <f>IF((B270="")+(B270="Vacante")+(D270=""),"",IFERROR(MATCH(D270,{"Oficinas";"Locales";"Estacionamientos";"Bodegas"},0),5)&amp;"|"&amp;B270&amp;"|"&amp;TEXT(G270,"yyyymmdd")&amp;"|"&amp;TEXT(H270,"yyyymmdd"))</f>
        <v>3|DEUTSCHE PHARMA|20270515|20290831</v>
      </c>
      <c r="AE270" s="4"/>
      <c r="AF270" s="4"/>
    </row>
    <row r="271" spans="1:32" x14ac:dyDescent="0.2">
      <c r="A271" s="5">
        <v>-6</v>
      </c>
      <c r="B271" s="6" t="s">
        <v>198</v>
      </c>
      <c r="C271" s="6" t="s">
        <v>61</v>
      </c>
      <c r="D271" s="6" t="s">
        <v>10</v>
      </c>
      <c r="E271" s="5">
        <v>6138</v>
      </c>
      <c r="G271" s="9">
        <v>46522</v>
      </c>
      <c r="H271" s="9">
        <v>47361</v>
      </c>
      <c r="I271" s="6" t="s">
        <v>2</v>
      </c>
      <c r="L271" s="18">
        <v>1</v>
      </c>
      <c r="M271" s="19">
        <v>4</v>
      </c>
      <c r="N271" s="18">
        <v>4</v>
      </c>
      <c r="T271" s="4"/>
      <c r="U271" s="4"/>
      <c r="V271" s="4"/>
      <c r="W271" s="4"/>
      <c r="X271" s="4"/>
      <c r="Y271" s="4"/>
      <c r="Z271" s="4"/>
      <c r="AA271" s="4"/>
      <c r="AD271" s="20" t="str">
        <f>IF((B271="")+(B271="Vacante")+(D271=""),"",IFERROR(MATCH(D271,{"Oficinas";"Locales";"Estacionamientos";"Bodegas"},0),5)&amp;"|"&amp;B271&amp;"|"&amp;TEXT(G271,"yyyymmdd")&amp;"|"&amp;TEXT(H271,"yyyymmdd"))</f>
        <v>3|DEUTSCHE PHARMA|20270515|20290831</v>
      </c>
      <c r="AE271" s="4"/>
      <c r="AF271" s="4"/>
    </row>
    <row r="272" spans="1:32" x14ac:dyDescent="0.2">
      <c r="A272" s="5">
        <v>-6</v>
      </c>
      <c r="B272" s="6" t="s">
        <v>177</v>
      </c>
      <c r="C272" s="6" t="s">
        <v>121</v>
      </c>
      <c r="D272" s="6" t="s">
        <v>10</v>
      </c>
      <c r="E272" s="5">
        <v>6139</v>
      </c>
      <c r="G272" s="9" t="s">
        <v>9</v>
      </c>
      <c r="H272" s="9">
        <v>46142</v>
      </c>
      <c r="I272" s="6" t="s">
        <v>2</v>
      </c>
      <c r="L272" s="18">
        <v>1</v>
      </c>
      <c r="M272" s="19">
        <v>4.3</v>
      </c>
      <c r="N272" s="18">
        <v>4.3</v>
      </c>
      <c r="T272" s="4"/>
      <c r="U272" s="4"/>
      <c r="V272" s="4"/>
      <c r="W272" s="4"/>
      <c r="X272" s="4"/>
      <c r="Y272" s="4"/>
      <c r="Z272" s="4"/>
      <c r="AA272" s="4"/>
      <c r="AD272" s="20" t="str">
        <f>IF((B272="")+(B272="Vacante")+(D272=""),"",IFERROR(MATCH(D272,{"Oficinas";"Locales";"Estacionamientos";"Bodegas"},0),5)&amp;"|"&amp;B272&amp;"|"&amp;TEXT(G272,"yyyymmdd")&amp;"|"&amp;TEXT(H272,"yyyymmdd"))</f>
        <v>3|UKA CHILE|-|20260430</v>
      </c>
      <c r="AE272" s="4"/>
      <c r="AF272" s="4"/>
    </row>
    <row r="273" spans="1:32" x14ac:dyDescent="0.2">
      <c r="A273" s="5">
        <v>-6</v>
      </c>
      <c r="B273" s="6" t="s">
        <v>185</v>
      </c>
      <c r="C273" s="6" t="s">
        <v>35</v>
      </c>
      <c r="D273" s="6" t="s">
        <v>10</v>
      </c>
      <c r="E273" s="5">
        <v>6140</v>
      </c>
      <c r="G273" s="9" t="s">
        <v>9</v>
      </c>
      <c r="H273" s="9">
        <v>47238</v>
      </c>
      <c r="I273" s="6" t="s">
        <v>2</v>
      </c>
      <c r="L273" s="18">
        <v>1</v>
      </c>
      <c r="M273" s="19">
        <v>4</v>
      </c>
      <c r="N273" s="18">
        <v>4</v>
      </c>
      <c r="T273" s="4"/>
      <c r="U273" s="4"/>
      <c r="V273" s="4"/>
      <c r="W273" s="4"/>
      <c r="X273" s="4"/>
      <c r="Y273" s="4"/>
      <c r="Z273" s="4"/>
      <c r="AA273" s="4"/>
      <c r="AD273" s="20" t="str">
        <f>IF((B273="")+(B273="Vacante")+(D273=""),"",IFERROR(MATCH(D273,{"Oficinas";"Locales";"Estacionamientos";"Bodegas"},0),5)&amp;"|"&amp;B273&amp;"|"&amp;TEXT(G273,"yyyymmdd")&amp;"|"&amp;TEXT(H273,"yyyymmdd"))</f>
        <v>3|BOEHRINGER |-|20290430</v>
      </c>
      <c r="AE273" s="4"/>
      <c r="AF273" s="4"/>
    </row>
    <row r="274" spans="1:32" x14ac:dyDescent="0.2">
      <c r="A274" s="5">
        <v>-7</v>
      </c>
      <c r="B274" s="6" t="s">
        <v>4</v>
      </c>
      <c r="C274" s="6" t="s">
        <v>4</v>
      </c>
      <c r="D274" s="6" t="s">
        <v>8</v>
      </c>
      <c r="E274" s="5">
        <v>702</v>
      </c>
      <c r="G274" s="9" t="s">
        <v>9</v>
      </c>
      <c r="H274" s="9" t="s">
        <v>9</v>
      </c>
      <c r="I274" s="6" t="s">
        <v>2</v>
      </c>
      <c r="L274" s="18">
        <v>12.3</v>
      </c>
      <c r="M274" s="19">
        <v>0</v>
      </c>
      <c r="N274" s="18">
        <v>0</v>
      </c>
      <c r="T274" s="4"/>
      <c r="U274" s="4"/>
      <c r="V274" s="4"/>
      <c r="W274" s="4"/>
      <c r="X274" s="4"/>
      <c r="Y274" s="4"/>
      <c r="Z274" s="4"/>
      <c r="AA274" s="4"/>
      <c r="AD274" s="20" t="str">
        <f>IF((B274="")+(B274="Vacante")+(D274=""),"",IFERROR(MATCH(D274,{"Oficinas";"Locales";"Estacionamientos";"Bodegas"},0),5)&amp;"|"&amp;B274&amp;"|"&amp;TEXT(G274,"yyyymmdd")&amp;"|"&amp;TEXT(H274,"yyyymmdd"))</f>
        <v/>
      </c>
      <c r="AE274" s="4"/>
      <c r="AF274" s="4"/>
    </row>
    <row r="275" spans="1:32" x14ac:dyDescent="0.2">
      <c r="A275" s="5">
        <v>-7</v>
      </c>
      <c r="B275" s="6" t="s">
        <v>4</v>
      </c>
      <c r="C275" s="6" t="s">
        <v>4</v>
      </c>
      <c r="D275" s="6" t="s">
        <v>8</v>
      </c>
      <c r="E275" s="5">
        <v>703</v>
      </c>
      <c r="G275" s="9" t="s">
        <v>9</v>
      </c>
      <c r="H275" s="9" t="s">
        <v>9</v>
      </c>
      <c r="I275" s="6" t="s">
        <v>2</v>
      </c>
      <c r="L275" s="18">
        <v>14.35</v>
      </c>
      <c r="M275" s="19">
        <v>0</v>
      </c>
      <c r="N275" s="18">
        <v>0</v>
      </c>
      <c r="T275" s="4"/>
      <c r="U275" s="4"/>
      <c r="V275" s="4"/>
      <c r="W275" s="4"/>
      <c r="X275" s="4"/>
      <c r="Y275" s="4"/>
      <c r="Z275" s="4"/>
      <c r="AA275" s="4"/>
      <c r="AD275" s="20" t="str">
        <f>IF((B275="")+(B275="Vacante")+(D275=""),"",IFERROR(MATCH(D275,{"Oficinas";"Locales";"Estacionamientos";"Bodegas"},0),5)&amp;"|"&amp;B275&amp;"|"&amp;TEXT(G275,"yyyymmdd")&amp;"|"&amp;TEXT(H275,"yyyymmdd"))</f>
        <v/>
      </c>
      <c r="AE275" s="4"/>
      <c r="AF275" s="4"/>
    </row>
    <row r="276" spans="1:32" x14ac:dyDescent="0.2">
      <c r="A276" s="5">
        <v>-7</v>
      </c>
      <c r="B276" s="6" t="s">
        <v>185</v>
      </c>
      <c r="C276" s="6" t="s">
        <v>35</v>
      </c>
      <c r="D276" s="6" t="s">
        <v>8</v>
      </c>
      <c r="E276" s="5">
        <v>704</v>
      </c>
      <c r="G276" s="9" t="s">
        <v>9</v>
      </c>
      <c r="H276" s="9">
        <v>47238</v>
      </c>
      <c r="I276" s="6" t="s">
        <v>2</v>
      </c>
      <c r="L276" s="18">
        <v>9.82</v>
      </c>
      <c r="M276" s="19">
        <v>0.29699999999999999</v>
      </c>
      <c r="N276" s="18">
        <v>2.9165399999999999</v>
      </c>
      <c r="T276" s="4"/>
      <c r="U276" s="4"/>
      <c r="V276" s="4"/>
      <c r="W276" s="4"/>
      <c r="X276" s="4"/>
      <c r="Y276" s="4"/>
      <c r="Z276" s="4"/>
      <c r="AA276" s="4"/>
      <c r="AD276" s="20" t="str">
        <f>IF((B276="")+(B276="Vacante")+(D276=""),"",IFERROR(MATCH(D276,{"Oficinas";"Locales";"Estacionamientos";"Bodegas"},0),5)&amp;"|"&amp;B276&amp;"|"&amp;TEXT(G276,"yyyymmdd")&amp;"|"&amp;TEXT(H276,"yyyymmdd"))</f>
        <v>4|BOEHRINGER |-|20290430</v>
      </c>
      <c r="AE276" s="4"/>
      <c r="AF276" s="4"/>
    </row>
    <row r="277" spans="1:32" x14ac:dyDescent="0.2">
      <c r="A277" s="5">
        <v>-7</v>
      </c>
      <c r="B277" s="6" t="s">
        <v>185</v>
      </c>
      <c r="C277" s="6" t="s">
        <v>35</v>
      </c>
      <c r="D277" s="6" t="s">
        <v>8</v>
      </c>
      <c r="E277" s="5">
        <v>705</v>
      </c>
      <c r="G277" s="9" t="s">
        <v>9</v>
      </c>
      <c r="H277" s="9">
        <v>47238</v>
      </c>
      <c r="I277" s="6" t="s">
        <v>2</v>
      </c>
      <c r="L277" s="18">
        <v>9.2799999999999994</v>
      </c>
      <c r="M277" s="19">
        <v>0.3</v>
      </c>
      <c r="N277" s="18">
        <v>2.7839999999999998</v>
      </c>
      <c r="T277" s="4"/>
      <c r="U277" s="4"/>
      <c r="V277" s="4"/>
      <c r="W277" s="4"/>
      <c r="X277" s="4"/>
      <c r="Y277" s="4"/>
      <c r="Z277" s="4"/>
      <c r="AA277" s="4"/>
      <c r="AD277" s="20" t="str">
        <f>IF((B277="")+(B277="Vacante")+(D277=""),"",IFERROR(MATCH(D277,{"Oficinas";"Locales";"Estacionamientos";"Bodegas"},0),5)&amp;"|"&amp;B277&amp;"|"&amp;TEXT(G277,"yyyymmdd")&amp;"|"&amp;TEXT(H277,"yyyymmdd"))</f>
        <v>4|BOEHRINGER |-|20290430</v>
      </c>
      <c r="AE277" s="4"/>
      <c r="AF277" s="4"/>
    </row>
    <row r="278" spans="1:32" x14ac:dyDescent="0.2">
      <c r="A278" s="5">
        <v>-7</v>
      </c>
      <c r="B278" s="6" t="s">
        <v>185</v>
      </c>
      <c r="C278" s="6" t="s">
        <v>35</v>
      </c>
      <c r="D278" s="6" t="s">
        <v>8</v>
      </c>
      <c r="E278" s="5">
        <v>706</v>
      </c>
      <c r="G278" s="9" t="s">
        <v>9</v>
      </c>
      <c r="H278" s="9">
        <v>47238</v>
      </c>
      <c r="I278" s="6" t="s">
        <v>2</v>
      </c>
      <c r="L278" s="18">
        <v>8.5299999999999994</v>
      </c>
      <c r="M278" s="19">
        <v>0.3</v>
      </c>
      <c r="N278" s="18">
        <v>2.5589999999999997</v>
      </c>
      <c r="T278" s="4"/>
      <c r="U278" s="4"/>
      <c r="V278" s="4"/>
      <c r="W278" s="4"/>
      <c r="X278" s="4"/>
      <c r="Y278" s="4"/>
      <c r="Z278" s="4"/>
      <c r="AA278" s="4"/>
      <c r="AD278" s="20" t="str">
        <f>IF((B278="")+(B278="Vacante")+(D278=""),"",IFERROR(MATCH(D278,{"Oficinas";"Locales";"Estacionamientos";"Bodegas"},0),5)&amp;"|"&amp;B278&amp;"|"&amp;TEXT(G278,"yyyymmdd")&amp;"|"&amp;TEXT(H278,"yyyymmdd"))</f>
        <v>4|BOEHRINGER |-|20290430</v>
      </c>
      <c r="AE278" s="4"/>
      <c r="AF278" s="4"/>
    </row>
    <row r="279" spans="1:32" x14ac:dyDescent="0.2">
      <c r="A279" s="5">
        <v>-7</v>
      </c>
      <c r="B279" s="6" t="s">
        <v>195</v>
      </c>
      <c r="C279" s="6" t="s">
        <v>23</v>
      </c>
      <c r="D279" s="6" t="s">
        <v>8</v>
      </c>
      <c r="E279" s="5">
        <v>707</v>
      </c>
      <c r="G279" s="9">
        <v>46522</v>
      </c>
      <c r="H279" s="9">
        <v>47497</v>
      </c>
      <c r="I279" s="6" t="s">
        <v>2</v>
      </c>
      <c r="L279" s="18">
        <v>9.5299999999999994</v>
      </c>
      <c r="M279" s="19">
        <v>0.30430220356768101</v>
      </c>
      <c r="N279" s="18">
        <v>2.9</v>
      </c>
      <c r="T279" s="4"/>
      <c r="U279" s="4"/>
      <c r="V279" s="4"/>
      <c r="W279" s="4"/>
      <c r="X279" s="4"/>
      <c r="Y279" s="4"/>
      <c r="Z279" s="4"/>
      <c r="AA279" s="4"/>
      <c r="AD279" s="20" t="str">
        <f>IF((B279="")+(B279="Vacante")+(D279=""),"",IFERROR(MATCH(D279,{"Oficinas";"Locales";"Estacionamientos";"Bodegas"},0),5)&amp;"|"&amp;B279&amp;"|"&amp;TEXT(G279,"yyyymmdd")&amp;"|"&amp;TEXT(H279,"yyyymmdd"))</f>
        <v>4|TECNIMONT|20270515|20300114</v>
      </c>
      <c r="AE279" s="4"/>
      <c r="AF279" s="4"/>
    </row>
    <row r="280" spans="1:32" x14ac:dyDescent="0.2">
      <c r="A280" s="5">
        <v>-7</v>
      </c>
      <c r="B280" s="6" t="s">
        <v>4</v>
      </c>
      <c r="C280" s="6" t="s">
        <v>4</v>
      </c>
      <c r="D280" s="6" t="s">
        <v>8</v>
      </c>
      <c r="E280" s="5">
        <v>708</v>
      </c>
      <c r="G280" s="9" t="s">
        <v>9</v>
      </c>
      <c r="H280" s="9" t="s">
        <v>9</v>
      </c>
      <c r="I280" s="6" t="s">
        <v>2</v>
      </c>
      <c r="L280" s="18">
        <v>9.9700000000000006</v>
      </c>
      <c r="M280" s="19">
        <v>0</v>
      </c>
      <c r="N280" s="18">
        <v>0</v>
      </c>
      <c r="T280" s="4"/>
      <c r="U280" s="4"/>
      <c r="V280" s="4"/>
      <c r="W280" s="4"/>
      <c r="X280" s="4"/>
      <c r="Y280" s="4"/>
      <c r="Z280" s="4"/>
      <c r="AA280" s="4"/>
      <c r="AD280" s="20" t="str">
        <f>IF((B280="")+(B280="Vacante")+(D280=""),"",IFERROR(MATCH(D280,{"Oficinas";"Locales";"Estacionamientos";"Bodegas"},0),5)&amp;"|"&amp;B280&amp;"|"&amp;TEXT(G280,"yyyymmdd")&amp;"|"&amp;TEXT(H280,"yyyymmdd"))</f>
        <v/>
      </c>
      <c r="AE280" s="4"/>
      <c r="AF280" s="4"/>
    </row>
    <row r="281" spans="1:32" x14ac:dyDescent="0.2">
      <c r="A281" s="5">
        <v>-7</v>
      </c>
      <c r="B281" s="6" t="s">
        <v>194</v>
      </c>
      <c r="C281" s="6" t="s">
        <v>22</v>
      </c>
      <c r="D281" s="6" t="s">
        <v>8</v>
      </c>
      <c r="E281" s="5">
        <v>709</v>
      </c>
      <c r="G281" s="9" t="s">
        <v>9</v>
      </c>
      <c r="H281" s="9">
        <v>46568</v>
      </c>
      <c r="I281" s="6" t="s">
        <v>2</v>
      </c>
      <c r="L281" s="18">
        <v>8.93</v>
      </c>
      <c r="M281" s="19">
        <v>0.3</v>
      </c>
      <c r="N281" s="18">
        <v>2.6789999999999998</v>
      </c>
      <c r="T281" s="4"/>
      <c r="U281" s="4"/>
      <c r="V281" s="4"/>
      <c r="W281" s="4"/>
      <c r="X281" s="4"/>
      <c r="Y281" s="4"/>
      <c r="Z281" s="4"/>
      <c r="AA281" s="4"/>
      <c r="AD281" s="20" t="str">
        <f>IF((B281="")+(B281="Vacante")+(D281=""),"",IFERROR(MATCH(D281,{"Oficinas";"Locales";"Estacionamientos";"Bodegas"},0),5)&amp;"|"&amp;B281&amp;"|"&amp;TEXT(G281,"yyyymmdd")&amp;"|"&amp;TEXT(H281,"yyyymmdd"))</f>
        <v>4|BLACK ROCK |-|20270630</v>
      </c>
      <c r="AE281" s="4"/>
      <c r="AF281" s="4"/>
    </row>
    <row r="282" spans="1:32" x14ac:dyDescent="0.2">
      <c r="A282" s="5">
        <v>-7</v>
      </c>
      <c r="B282" s="6" t="s">
        <v>194</v>
      </c>
      <c r="C282" s="6" t="s">
        <v>22</v>
      </c>
      <c r="D282" s="6" t="s">
        <v>8</v>
      </c>
      <c r="E282" s="5">
        <v>710</v>
      </c>
      <c r="G282" s="9">
        <v>46023</v>
      </c>
      <c r="H282" s="9">
        <v>46568</v>
      </c>
      <c r="I282" s="6" t="s">
        <v>2</v>
      </c>
      <c r="L282" s="18">
        <v>12.91</v>
      </c>
      <c r="M282" s="19">
        <v>0.3</v>
      </c>
      <c r="N282" s="18">
        <v>3.8729999999999998</v>
      </c>
      <c r="T282" s="4"/>
      <c r="U282" s="4"/>
      <c r="V282" s="4"/>
      <c r="W282" s="4"/>
      <c r="X282" s="4"/>
      <c r="Y282" s="4"/>
      <c r="Z282" s="4"/>
      <c r="AA282" s="4"/>
      <c r="AD282" s="20" t="str">
        <f>IF((B282="")+(B282="Vacante")+(D282=""),"",IFERROR(MATCH(D282,{"Oficinas";"Locales";"Estacionamientos";"Bodegas"},0),5)&amp;"|"&amp;B282&amp;"|"&amp;TEXT(G282,"yyyymmdd")&amp;"|"&amp;TEXT(H282,"yyyymmdd"))</f>
        <v>4|BLACK ROCK |20260101|20270630</v>
      </c>
      <c r="AE282" s="4"/>
      <c r="AF282" s="4"/>
    </row>
    <row r="283" spans="1:32" x14ac:dyDescent="0.2">
      <c r="A283" s="5">
        <v>-7</v>
      </c>
      <c r="B283" s="6" t="s">
        <v>202</v>
      </c>
      <c r="C283" s="6" t="s">
        <v>123</v>
      </c>
      <c r="D283" s="6" t="s">
        <v>8</v>
      </c>
      <c r="E283" s="5">
        <v>711</v>
      </c>
      <c r="G283" s="9" t="s">
        <v>9</v>
      </c>
      <c r="H283" s="9">
        <v>47118</v>
      </c>
      <c r="I283" s="6" t="s">
        <v>2</v>
      </c>
      <c r="L283" s="18">
        <v>25.41</v>
      </c>
      <c r="M283" s="19">
        <v>0.20000000000000004</v>
      </c>
      <c r="N283" s="18">
        <v>5.0820000000000007</v>
      </c>
      <c r="T283" s="4"/>
      <c r="U283" s="4"/>
      <c r="V283" s="4"/>
      <c r="W283" s="4"/>
      <c r="X283" s="4"/>
      <c r="Y283" s="4"/>
      <c r="Z283" s="4"/>
      <c r="AA283" s="4"/>
      <c r="AD283" s="20" t="str">
        <f>IF((B283="")+(B283="Vacante")+(D283=""),"",IFERROR(MATCH(D283,{"Oficinas";"Locales";"Estacionamientos";"Bodegas"},0),5)&amp;"|"&amp;B283&amp;"|"&amp;TEXT(G283,"yyyymmdd")&amp;"|"&amp;TEXT(H283,"yyyymmdd"))</f>
        <v>4|CASA DEL HABANO|-|20281231</v>
      </c>
      <c r="AE283" s="4"/>
      <c r="AF283" s="4"/>
    </row>
    <row r="284" spans="1:32" x14ac:dyDescent="0.2">
      <c r="A284" s="5">
        <v>-7</v>
      </c>
      <c r="B284" s="6" t="s">
        <v>185</v>
      </c>
      <c r="C284" s="6" t="s">
        <v>35</v>
      </c>
      <c r="D284" s="6" t="s">
        <v>8</v>
      </c>
      <c r="E284" s="5">
        <v>712</v>
      </c>
      <c r="F284" s="6" t="s">
        <v>124</v>
      </c>
      <c r="G284" s="9" t="s">
        <v>9</v>
      </c>
      <c r="H284" s="9">
        <v>47238</v>
      </c>
      <c r="I284" s="6" t="s">
        <v>2</v>
      </c>
      <c r="L284" s="18">
        <v>8.48</v>
      </c>
      <c r="M284" s="19">
        <v>0.3</v>
      </c>
      <c r="N284" s="18">
        <v>2.544</v>
      </c>
      <c r="T284" s="4"/>
      <c r="U284" s="4"/>
      <c r="V284" s="4"/>
      <c r="W284" s="4"/>
      <c r="X284" s="4"/>
      <c r="Y284" s="4"/>
      <c r="Z284" s="4"/>
      <c r="AA284" s="4"/>
      <c r="AD284" s="20" t="str">
        <f>IF((B284="")+(B284="Vacante")+(D284=""),"",IFERROR(MATCH(D284,{"Oficinas";"Locales";"Estacionamientos";"Bodegas"},0),5)&amp;"|"&amp;B284&amp;"|"&amp;TEXT(G284,"yyyymmdd")&amp;"|"&amp;TEXT(H284,"yyyymmdd"))</f>
        <v>4|BOEHRINGER |-|20290430</v>
      </c>
      <c r="AE284" s="4"/>
      <c r="AF284" s="4"/>
    </row>
    <row r="285" spans="1:32" x14ac:dyDescent="0.2">
      <c r="A285" s="5">
        <v>-7</v>
      </c>
      <c r="B285" s="6" t="s">
        <v>185</v>
      </c>
      <c r="C285" s="6" t="s">
        <v>35</v>
      </c>
      <c r="D285" s="6" t="s">
        <v>8</v>
      </c>
      <c r="E285" s="5">
        <v>713</v>
      </c>
      <c r="F285" s="6" t="s">
        <v>125</v>
      </c>
      <c r="G285" s="9" t="s">
        <v>9</v>
      </c>
      <c r="H285" s="9">
        <v>47238</v>
      </c>
      <c r="I285" s="6" t="s">
        <v>2</v>
      </c>
      <c r="L285" s="18">
        <v>9.65</v>
      </c>
      <c r="M285" s="19">
        <v>0.3</v>
      </c>
      <c r="N285" s="18">
        <v>2.895</v>
      </c>
      <c r="T285" s="4"/>
      <c r="U285" s="4"/>
      <c r="V285" s="4"/>
      <c r="W285" s="4"/>
      <c r="X285" s="4"/>
      <c r="Y285" s="4"/>
      <c r="Z285" s="4"/>
      <c r="AA285" s="4"/>
      <c r="AD285" s="20" t="str">
        <f>IF((B285="")+(B285="Vacante")+(D285=""),"",IFERROR(MATCH(D285,{"Oficinas";"Locales";"Estacionamientos";"Bodegas"},0),5)&amp;"|"&amp;B285&amp;"|"&amp;TEXT(G285,"yyyymmdd")&amp;"|"&amp;TEXT(H285,"yyyymmdd"))</f>
        <v>4|BOEHRINGER |-|20290430</v>
      </c>
      <c r="AE285" s="4"/>
      <c r="AF285" s="4"/>
    </row>
    <row r="286" spans="1:32" x14ac:dyDescent="0.2">
      <c r="A286" s="5">
        <v>-7</v>
      </c>
      <c r="B286" s="6" t="s">
        <v>185</v>
      </c>
      <c r="C286" s="6" t="s">
        <v>35</v>
      </c>
      <c r="D286" s="6" t="s">
        <v>8</v>
      </c>
      <c r="E286" s="5">
        <v>714</v>
      </c>
      <c r="F286" s="6" t="s">
        <v>126</v>
      </c>
      <c r="G286" s="9" t="s">
        <v>9</v>
      </c>
      <c r="H286" s="9">
        <v>47238</v>
      </c>
      <c r="I286" s="6" t="s">
        <v>2</v>
      </c>
      <c r="L286" s="18">
        <v>8.86</v>
      </c>
      <c r="M286" s="19">
        <v>0.3</v>
      </c>
      <c r="N286" s="18">
        <v>2.6579999999999999</v>
      </c>
      <c r="T286" s="4"/>
      <c r="U286" s="4"/>
      <c r="V286" s="4"/>
      <c r="W286" s="4"/>
      <c r="X286" s="4"/>
      <c r="Y286" s="4"/>
      <c r="Z286" s="4"/>
      <c r="AA286" s="4"/>
      <c r="AD286" s="20" t="str">
        <f>IF((B286="")+(B286="Vacante")+(D286=""),"",IFERROR(MATCH(D286,{"Oficinas";"Locales";"Estacionamientos";"Bodegas"},0),5)&amp;"|"&amp;B286&amp;"|"&amp;TEXT(G286,"yyyymmdd")&amp;"|"&amp;TEXT(H286,"yyyymmdd"))</f>
        <v>4|BOEHRINGER |-|20290430</v>
      </c>
      <c r="AE286" s="4"/>
      <c r="AF286" s="4"/>
    </row>
    <row r="287" spans="1:32" x14ac:dyDescent="0.2">
      <c r="A287" s="5">
        <v>-7</v>
      </c>
      <c r="B287" s="6" t="s">
        <v>4</v>
      </c>
      <c r="C287" s="6" t="s">
        <v>4</v>
      </c>
      <c r="D287" s="6" t="s">
        <v>8</v>
      </c>
      <c r="E287" s="5">
        <v>715</v>
      </c>
      <c r="F287" s="6" t="s">
        <v>127</v>
      </c>
      <c r="G287" s="9" t="s">
        <v>9</v>
      </c>
      <c r="H287" s="9" t="s">
        <v>9</v>
      </c>
      <c r="I287" s="6" t="s">
        <v>2</v>
      </c>
      <c r="L287" s="18">
        <v>5.46</v>
      </c>
      <c r="M287" s="19">
        <v>0</v>
      </c>
      <c r="N287" s="18">
        <v>0</v>
      </c>
      <c r="T287" s="4"/>
      <c r="U287" s="4"/>
      <c r="V287" s="4"/>
      <c r="W287" s="4"/>
      <c r="X287" s="4"/>
      <c r="Y287" s="4"/>
      <c r="Z287" s="4"/>
      <c r="AA287" s="4"/>
      <c r="AD287" s="20" t="str">
        <f>IF((B287="")+(B287="Vacante")+(D287=""),"",IFERROR(MATCH(D287,{"Oficinas";"Locales";"Estacionamientos";"Bodegas"},0),5)&amp;"|"&amp;B287&amp;"|"&amp;TEXT(G287,"yyyymmdd")&amp;"|"&amp;TEXT(H287,"yyyymmdd"))</f>
        <v/>
      </c>
      <c r="AE287" s="4"/>
      <c r="AF287" s="4"/>
    </row>
    <row r="288" spans="1:32" x14ac:dyDescent="0.2">
      <c r="A288" s="5">
        <v>-7</v>
      </c>
      <c r="B288" s="6" t="s">
        <v>4</v>
      </c>
      <c r="C288" s="6" t="s">
        <v>4</v>
      </c>
      <c r="D288" s="6" t="s">
        <v>8</v>
      </c>
      <c r="E288" s="5">
        <v>716</v>
      </c>
      <c r="F288" s="6" t="s">
        <v>128</v>
      </c>
      <c r="G288" s="9" t="s">
        <v>9</v>
      </c>
      <c r="H288" s="9" t="s">
        <v>9</v>
      </c>
      <c r="I288" s="6" t="s">
        <v>2</v>
      </c>
      <c r="L288" s="18">
        <v>4.97</v>
      </c>
      <c r="M288" s="19">
        <v>0</v>
      </c>
      <c r="N288" s="18">
        <v>0</v>
      </c>
      <c r="T288" s="4"/>
      <c r="U288" s="4"/>
      <c r="V288" s="4"/>
      <c r="W288" s="4"/>
      <c r="X288" s="4"/>
      <c r="Y288" s="4"/>
      <c r="Z288" s="4"/>
      <c r="AA288" s="4"/>
      <c r="AD288" s="20" t="str">
        <f>IF((B288="")+(B288="Vacante")+(D288=""),"",IFERROR(MATCH(D288,{"Oficinas";"Locales";"Estacionamientos";"Bodegas"},0),5)&amp;"|"&amp;B288&amp;"|"&amp;TEXT(G288,"yyyymmdd")&amp;"|"&amp;TEXT(H288,"yyyymmdd"))</f>
        <v/>
      </c>
      <c r="AE288" s="4"/>
      <c r="AF288" s="4"/>
    </row>
    <row r="289" spans="1:32" x14ac:dyDescent="0.2">
      <c r="A289" s="5">
        <v>-7</v>
      </c>
      <c r="B289" s="6" t="s">
        <v>184</v>
      </c>
      <c r="C289" s="6" t="s">
        <v>36</v>
      </c>
      <c r="D289" s="6" t="s">
        <v>8</v>
      </c>
      <c r="E289" s="5">
        <v>717</v>
      </c>
      <c r="F289" s="6" t="s">
        <v>129</v>
      </c>
      <c r="G289" s="9" t="s">
        <v>9</v>
      </c>
      <c r="H289" s="9">
        <v>46222</v>
      </c>
      <c r="I289" s="6" t="s">
        <v>2</v>
      </c>
      <c r="L289" s="18">
        <v>4.68</v>
      </c>
      <c r="M289" s="19">
        <v>0.3</v>
      </c>
      <c r="N289" s="18">
        <v>1.4039999999999999</v>
      </c>
      <c r="T289" s="4"/>
      <c r="U289" s="4"/>
      <c r="V289" s="4"/>
      <c r="W289" s="4"/>
      <c r="X289" s="4"/>
      <c r="Y289" s="4"/>
      <c r="Z289" s="4"/>
      <c r="AA289" s="4"/>
      <c r="AD289" s="20" t="str">
        <f>IF((B289="")+(B289="Vacante")+(D289=""),"",IFERROR(MATCH(D289,{"Oficinas";"Locales";"Estacionamientos";"Bodegas"},0),5)&amp;"|"&amp;B289&amp;"|"&amp;TEXT(G289,"yyyymmdd")&amp;"|"&amp;TEXT(H289,"yyyymmdd"))</f>
        <v>4|DEVON|-|20260719</v>
      </c>
      <c r="AE289" s="4"/>
      <c r="AF289" s="4"/>
    </row>
    <row r="290" spans="1:32" x14ac:dyDescent="0.2">
      <c r="A290" s="5">
        <v>-7</v>
      </c>
      <c r="B290" s="6" t="s">
        <v>4</v>
      </c>
      <c r="C290" s="6" t="s">
        <v>4</v>
      </c>
      <c r="D290" s="6" t="s">
        <v>8</v>
      </c>
      <c r="E290" s="5">
        <v>718</v>
      </c>
      <c r="F290" s="6" t="s">
        <v>130</v>
      </c>
      <c r="G290" s="9" t="s">
        <v>9</v>
      </c>
      <c r="H290" s="9" t="s">
        <v>9</v>
      </c>
      <c r="I290" s="6" t="s">
        <v>2</v>
      </c>
      <c r="L290" s="18">
        <v>3.81</v>
      </c>
      <c r="M290" s="19">
        <v>0</v>
      </c>
      <c r="N290" s="18">
        <v>0</v>
      </c>
      <c r="T290" s="4"/>
      <c r="U290" s="4"/>
      <c r="V290" s="4"/>
      <c r="W290" s="4"/>
      <c r="X290" s="4"/>
      <c r="Y290" s="4"/>
      <c r="Z290" s="4"/>
      <c r="AA290" s="4"/>
      <c r="AD290" s="20" t="str">
        <f>IF((B290="")+(B290="Vacante")+(D290=""),"",IFERROR(MATCH(D290,{"Oficinas";"Locales";"Estacionamientos";"Bodegas"},0),5)&amp;"|"&amp;B290&amp;"|"&amp;TEXT(G290,"yyyymmdd")&amp;"|"&amp;TEXT(H290,"yyyymmdd"))</f>
        <v/>
      </c>
      <c r="AE290" s="4"/>
      <c r="AF290" s="4"/>
    </row>
    <row r="291" spans="1:32" x14ac:dyDescent="0.2">
      <c r="A291" s="5">
        <v>-7</v>
      </c>
      <c r="B291" s="6" t="s">
        <v>183</v>
      </c>
      <c r="C291" s="6" t="s">
        <v>42</v>
      </c>
      <c r="D291" s="6" t="s">
        <v>8</v>
      </c>
      <c r="E291" s="5">
        <v>719</v>
      </c>
      <c r="G291" s="9" t="s">
        <v>9</v>
      </c>
      <c r="H291" s="9">
        <v>47087</v>
      </c>
      <c r="I291" s="6" t="s">
        <v>2</v>
      </c>
      <c r="L291" s="18">
        <v>13.25</v>
      </c>
      <c r="M291" s="19">
        <v>0.3</v>
      </c>
      <c r="N291" s="18">
        <v>3.9749999999999996</v>
      </c>
      <c r="T291" s="4"/>
      <c r="U291" s="4"/>
      <c r="V291" s="4"/>
      <c r="W291" s="4"/>
      <c r="X291" s="4"/>
      <c r="Y291" s="4"/>
      <c r="Z291" s="4"/>
      <c r="AA291" s="4"/>
      <c r="AD291" s="20" t="str">
        <f>IF((B291="")+(B291="Vacante")+(D291=""),"",IFERROR(MATCH(D291,{"Oficinas";"Locales";"Estacionamientos";"Bodegas"},0),5)&amp;"|"&amp;B291&amp;"|"&amp;TEXT(G291,"yyyymmdd")&amp;"|"&amp;TEXT(H291,"yyyymmdd"))</f>
        <v>4|RED ELECTRICA |-|20281130</v>
      </c>
      <c r="AE291" s="4"/>
      <c r="AF291" s="4"/>
    </row>
    <row r="292" spans="1:32" x14ac:dyDescent="0.2">
      <c r="A292" s="5">
        <v>-7</v>
      </c>
      <c r="B292" s="6" t="s">
        <v>4</v>
      </c>
      <c r="C292" s="6" t="s">
        <v>4</v>
      </c>
      <c r="D292" s="6" t="s">
        <v>8</v>
      </c>
      <c r="E292" s="5">
        <v>720</v>
      </c>
      <c r="G292" s="9" t="s">
        <v>9</v>
      </c>
      <c r="H292" s="9" t="s">
        <v>9</v>
      </c>
      <c r="I292" s="6" t="s">
        <v>2</v>
      </c>
      <c r="L292" s="18">
        <v>41.06</v>
      </c>
      <c r="M292" s="19">
        <v>0</v>
      </c>
      <c r="N292" s="18">
        <v>0</v>
      </c>
      <c r="T292" s="4"/>
      <c r="U292" s="4"/>
      <c r="V292" s="4"/>
      <c r="W292" s="4"/>
      <c r="X292" s="4"/>
      <c r="Y292" s="4"/>
      <c r="Z292" s="4"/>
      <c r="AA292" s="4"/>
      <c r="AD292" s="20" t="str">
        <f>IF((B292="")+(B292="Vacante")+(D292=""),"",IFERROR(MATCH(D292,{"Oficinas";"Locales";"Estacionamientos";"Bodegas"},0),5)&amp;"|"&amp;B292&amp;"|"&amp;TEXT(G292,"yyyymmdd")&amp;"|"&amp;TEXT(H292,"yyyymmdd"))</f>
        <v/>
      </c>
      <c r="AE292" s="4"/>
      <c r="AF292" s="4"/>
    </row>
    <row r="293" spans="1:32" x14ac:dyDescent="0.2">
      <c r="A293" s="5">
        <v>-7</v>
      </c>
      <c r="B293" s="6" t="s">
        <v>4</v>
      </c>
      <c r="C293" s="6" t="s">
        <v>4</v>
      </c>
      <c r="D293" s="6" t="s">
        <v>8</v>
      </c>
      <c r="E293" s="5">
        <v>721</v>
      </c>
      <c r="G293" s="9" t="s">
        <v>9</v>
      </c>
      <c r="H293" s="9" t="s">
        <v>9</v>
      </c>
      <c r="I293" s="6" t="s">
        <v>2</v>
      </c>
      <c r="L293" s="18">
        <v>18.260000000000002</v>
      </c>
      <c r="M293" s="19">
        <v>0</v>
      </c>
      <c r="N293" s="18">
        <v>0</v>
      </c>
      <c r="T293" s="4"/>
      <c r="U293" s="4"/>
      <c r="V293" s="4"/>
      <c r="W293" s="4"/>
      <c r="X293" s="4"/>
      <c r="Y293" s="4"/>
      <c r="Z293" s="4"/>
      <c r="AA293" s="4"/>
      <c r="AD293" s="20" t="str">
        <f>IF((B293="")+(B293="Vacante")+(D293=""),"",IFERROR(MATCH(D293,{"Oficinas";"Locales";"Estacionamientos";"Bodegas"},0),5)&amp;"|"&amp;B293&amp;"|"&amp;TEXT(G293,"yyyymmdd")&amp;"|"&amp;TEXT(H293,"yyyymmdd"))</f>
        <v/>
      </c>
      <c r="AE293" s="4"/>
      <c r="AF293" s="4"/>
    </row>
    <row r="294" spans="1:32" x14ac:dyDescent="0.2">
      <c r="A294" s="5">
        <v>-7</v>
      </c>
      <c r="B294" s="6" t="s">
        <v>4</v>
      </c>
      <c r="C294" s="6" t="s">
        <v>4</v>
      </c>
      <c r="D294" s="6" t="s">
        <v>8</v>
      </c>
      <c r="E294" s="5">
        <v>722</v>
      </c>
      <c r="F294" s="6" t="s">
        <v>131</v>
      </c>
      <c r="G294" s="9" t="s">
        <v>9</v>
      </c>
      <c r="H294" s="9" t="s">
        <v>9</v>
      </c>
      <c r="I294" s="6" t="s">
        <v>2</v>
      </c>
      <c r="L294" s="18">
        <v>6.86</v>
      </c>
      <c r="M294" s="19">
        <v>0</v>
      </c>
      <c r="N294" s="18">
        <v>0</v>
      </c>
      <c r="T294" s="4"/>
      <c r="U294" s="4"/>
      <c r="V294" s="4"/>
      <c r="W294" s="4"/>
      <c r="X294" s="4"/>
      <c r="Y294" s="4"/>
      <c r="Z294" s="4"/>
      <c r="AA294" s="4"/>
      <c r="AD294" s="20" t="str">
        <f>IF((B294="")+(B294="Vacante")+(D294=""),"",IFERROR(MATCH(D294,{"Oficinas";"Locales";"Estacionamientos";"Bodegas"},0),5)&amp;"|"&amp;B294&amp;"|"&amp;TEXT(G294,"yyyymmdd")&amp;"|"&amp;TEXT(H294,"yyyymmdd"))</f>
        <v/>
      </c>
      <c r="AE294" s="4"/>
      <c r="AF294" s="4"/>
    </row>
    <row r="295" spans="1:32" x14ac:dyDescent="0.2">
      <c r="A295" s="5">
        <v>-7</v>
      </c>
      <c r="B295" s="6" t="s">
        <v>206</v>
      </c>
      <c r="C295" s="6" t="s">
        <v>71</v>
      </c>
      <c r="D295" s="6" t="s">
        <v>10</v>
      </c>
      <c r="E295" s="5">
        <v>7001</v>
      </c>
      <c r="G295" s="9">
        <v>45716</v>
      </c>
      <c r="H295" s="9">
        <v>46446</v>
      </c>
      <c r="I295" s="6" t="s">
        <v>2</v>
      </c>
      <c r="L295" s="18">
        <v>1</v>
      </c>
      <c r="M295" s="19">
        <v>4.25</v>
      </c>
      <c r="N295" s="18">
        <v>4.25</v>
      </c>
      <c r="T295" s="4"/>
      <c r="U295" s="4"/>
      <c r="V295" s="4"/>
      <c r="W295" s="4"/>
      <c r="X295" s="4"/>
      <c r="Y295" s="4"/>
      <c r="Z295" s="4"/>
      <c r="AA295" s="4"/>
      <c r="AD295" s="20" t="str">
        <f>IF((B295="")+(B295="Vacante")+(D295=""),"",IFERROR(MATCH(D295,{"Oficinas";"Locales";"Estacionamientos";"Bodegas"},0),5)&amp;"|"&amp;B295&amp;"|"&amp;TEXT(G295,"yyyymmdd")&amp;"|"&amp;TEXT(H295,"yyyymmdd"))</f>
        <v>3|TATTERSAL|20250228|20270228</v>
      </c>
      <c r="AE295" s="4"/>
      <c r="AF295" s="4"/>
    </row>
    <row r="296" spans="1:32" x14ac:dyDescent="0.2">
      <c r="A296" s="5">
        <v>-7</v>
      </c>
      <c r="B296" s="6" t="s">
        <v>206</v>
      </c>
      <c r="C296" s="6" t="s">
        <v>71</v>
      </c>
      <c r="D296" s="6" t="s">
        <v>10</v>
      </c>
      <c r="E296" s="5">
        <v>7002</v>
      </c>
      <c r="G296" s="9">
        <v>45716</v>
      </c>
      <c r="H296" s="9">
        <v>46446</v>
      </c>
      <c r="I296" s="6" t="s">
        <v>2</v>
      </c>
      <c r="L296" s="18">
        <v>1</v>
      </c>
      <c r="M296" s="19">
        <v>4.25</v>
      </c>
      <c r="N296" s="18">
        <v>4.25</v>
      </c>
      <c r="T296" s="4"/>
      <c r="U296" s="4"/>
      <c r="V296" s="4"/>
      <c r="W296" s="4"/>
      <c r="X296" s="4"/>
      <c r="Y296" s="4"/>
      <c r="Z296" s="4"/>
      <c r="AA296" s="4"/>
      <c r="AD296" s="20" t="str">
        <f>IF((B296="")+(B296="Vacante")+(D296=""),"",IFERROR(MATCH(D296,{"Oficinas";"Locales";"Estacionamientos";"Bodegas"},0),5)&amp;"|"&amp;B296&amp;"|"&amp;TEXT(G296,"yyyymmdd")&amp;"|"&amp;TEXT(H296,"yyyymmdd"))</f>
        <v>3|TATTERSAL|20250228|20270228</v>
      </c>
      <c r="AE296" s="4"/>
      <c r="AF296" s="4"/>
    </row>
    <row r="297" spans="1:32" x14ac:dyDescent="0.2">
      <c r="A297" s="5">
        <v>-7</v>
      </c>
      <c r="B297" s="6" t="s">
        <v>206</v>
      </c>
      <c r="C297" s="6" t="s">
        <v>71</v>
      </c>
      <c r="D297" s="6" t="s">
        <v>10</v>
      </c>
      <c r="E297" s="5">
        <v>7003</v>
      </c>
      <c r="G297" s="9">
        <v>45716</v>
      </c>
      <c r="H297" s="9">
        <v>46446</v>
      </c>
      <c r="I297" s="6" t="s">
        <v>2</v>
      </c>
      <c r="L297" s="18">
        <v>1</v>
      </c>
      <c r="M297" s="19">
        <v>4.25</v>
      </c>
      <c r="N297" s="18">
        <v>4.25</v>
      </c>
      <c r="T297" s="4"/>
      <c r="U297" s="4"/>
      <c r="V297" s="4"/>
      <c r="W297" s="4"/>
      <c r="X297" s="4"/>
      <c r="Y297" s="4"/>
      <c r="Z297" s="4"/>
      <c r="AA297" s="4"/>
      <c r="AD297" s="20" t="str">
        <f>IF((B297="")+(B297="Vacante")+(D297=""),"",IFERROR(MATCH(D297,{"Oficinas";"Locales";"Estacionamientos";"Bodegas"},0),5)&amp;"|"&amp;B297&amp;"|"&amp;TEXT(G297,"yyyymmdd")&amp;"|"&amp;TEXT(H297,"yyyymmdd"))</f>
        <v>3|TATTERSAL|20250228|20270228</v>
      </c>
      <c r="AE297" s="4"/>
      <c r="AF297" s="4"/>
    </row>
    <row r="298" spans="1:32" x14ac:dyDescent="0.2">
      <c r="A298" s="5">
        <v>-7</v>
      </c>
      <c r="B298" s="6" t="s">
        <v>206</v>
      </c>
      <c r="C298" s="6" t="s">
        <v>71</v>
      </c>
      <c r="D298" s="6" t="s">
        <v>10</v>
      </c>
      <c r="E298" s="5">
        <v>7004</v>
      </c>
      <c r="G298" s="9">
        <v>45716</v>
      </c>
      <c r="H298" s="9">
        <v>46446</v>
      </c>
      <c r="I298" s="6" t="s">
        <v>2</v>
      </c>
      <c r="L298" s="18">
        <v>1</v>
      </c>
      <c r="M298" s="19">
        <v>4.25</v>
      </c>
      <c r="N298" s="18">
        <v>4.25</v>
      </c>
      <c r="T298" s="4"/>
      <c r="U298" s="4"/>
      <c r="V298" s="4"/>
      <c r="W298" s="4"/>
      <c r="X298" s="4"/>
      <c r="Y298" s="4"/>
      <c r="Z298" s="4"/>
      <c r="AA298" s="4"/>
      <c r="AD298" s="20" t="str">
        <f>IF((B298="")+(B298="Vacante")+(D298=""),"",IFERROR(MATCH(D298,{"Oficinas";"Locales";"Estacionamientos";"Bodegas"},0),5)&amp;"|"&amp;B298&amp;"|"&amp;TEXT(G298,"yyyymmdd")&amp;"|"&amp;TEXT(H298,"yyyymmdd"))</f>
        <v>3|TATTERSAL|20250228|20270228</v>
      </c>
      <c r="AE298" s="4"/>
      <c r="AF298" s="4"/>
    </row>
    <row r="299" spans="1:32" x14ac:dyDescent="0.2">
      <c r="A299" s="5">
        <v>-7</v>
      </c>
      <c r="B299" s="6" t="s">
        <v>206</v>
      </c>
      <c r="C299" s="6" t="s">
        <v>71</v>
      </c>
      <c r="D299" s="6" t="s">
        <v>10</v>
      </c>
      <c r="E299" s="5">
        <v>7005</v>
      </c>
      <c r="G299" s="9">
        <v>45716</v>
      </c>
      <c r="H299" s="9">
        <v>46446</v>
      </c>
      <c r="I299" s="6" t="s">
        <v>2</v>
      </c>
      <c r="L299" s="18">
        <v>1</v>
      </c>
      <c r="M299" s="19">
        <v>4.25</v>
      </c>
      <c r="N299" s="18">
        <v>4.25</v>
      </c>
      <c r="T299" s="4"/>
      <c r="U299" s="4"/>
      <c r="V299" s="4"/>
      <c r="W299" s="4"/>
      <c r="X299" s="4"/>
      <c r="Y299" s="4"/>
      <c r="Z299" s="4"/>
      <c r="AA299" s="4"/>
      <c r="AD299" s="20" t="str">
        <f>IF((B299="")+(B299="Vacante")+(D299=""),"",IFERROR(MATCH(D299,{"Oficinas";"Locales";"Estacionamientos";"Bodegas"},0),5)&amp;"|"&amp;B299&amp;"|"&amp;TEXT(G299,"yyyymmdd")&amp;"|"&amp;TEXT(H299,"yyyymmdd"))</f>
        <v>3|TATTERSAL|20250228|20270228</v>
      </c>
      <c r="AE299" s="4"/>
      <c r="AF299" s="4"/>
    </row>
    <row r="300" spans="1:32" x14ac:dyDescent="0.2">
      <c r="A300" s="5">
        <v>-7</v>
      </c>
      <c r="B300" s="6" t="s">
        <v>206</v>
      </c>
      <c r="C300" s="6" t="s">
        <v>71</v>
      </c>
      <c r="D300" s="6" t="s">
        <v>10</v>
      </c>
      <c r="E300" s="5">
        <v>7006</v>
      </c>
      <c r="G300" s="9">
        <v>45716</v>
      </c>
      <c r="H300" s="9">
        <v>46446</v>
      </c>
      <c r="I300" s="6" t="s">
        <v>2</v>
      </c>
      <c r="L300" s="18">
        <v>1</v>
      </c>
      <c r="M300" s="19">
        <v>4.25</v>
      </c>
      <c r="N300" s="18">
        <v>4.25</v>
      </c>
      <c r="T300" s="4"/>
      <c r="U300" s="4"/>
      <c r="V300" s="4"/>
      <c r="W300" s="4"/>
      <c r="X300" s="4"/>
      <c r="Y300" s="4"/>
      <c r="Z300" s="4"/>
      <c r="AA300" s="4"/>
      <c r="AD300" s="20" t="str">
        <f>IF((B300="")+(B300="Vacante")+(D300=""),"",IFERROR(MATCH(D300,{"Oficinas";"Locales";"Estacionamientos";"Bodegas"},0),5)&amp;"|"&amp;B300&amp;"|"&amp;TEXT(G300,"yyyymmdd")&amp;"|"&amp;TEXT(H300,"yyyymmdd"))</f>
        <v>3|TATTERSAL|20250228|20270228</v>
      </c>
      <c r="AE300" s="4"/>
      <c r="AF300" s="4"/>
    </row>
    <row r="301" spans="1:32" x14ac:dyDescent="0.2">
      <c r="A301" s="5">
        <v>-7</v>
      </c>
      <c r="B301" s="6" t="s">
        <v>206</v>
      </c>
      <c r="C301" s="6" t="s">
        <v>71</v>
      </c>
      <c r="D301" s="6" t="s">
        <v>10</v>
      </c>
      <c r="E301" s="5">
        <v>7007</v>
      </c>
      <c r="G301" s="9">
        <v>45716</v>
      </c>
      <c r="H301" s="9">
        <v>46446</v>
      </c>
      <c r="I301" s="6" t="s">
        <v>2</v>
      </c>
      <c r="L301" s="18">
        <v>1</v>
      </c>
      <c r="M301" s="19">
        <v>4.25</v>
      </c>
      <c r="N301" s="18">
        <v>4.25</v>
      </c>
      <c r="T301" s="4"/>
      <c r="U301" s="4"/>
      <c r="V301" s="4"/>
      <c r="W301" s="4"/>
      <c r="X301" s="4"/>
      <c r="Y301" s="4"/>
      <c r="Z301" s="4"/>
      <c r="AA301" s="4"/>
      <c r="AD301" s="20" t="str">
        <f>IF((B301="")+(B301="Vacante")+(D301=""),"",IFERROR(MATCH(D301,{"Oficinas";"Locales";"Estacionamientos";"Bodegas"},0),5)&amp;"|"&amp;B301&amp;"|"&amp;TEXT(G301,"yyyymmdd")&amp;"|"&amp;TEXT(H301,"yyyymmdd"))</f>
        <v>3|TATTERSAL|20250228|20270228</v>
      </c>
      <c r="AE301" s="4"/>
      <c r="AF301" s="4"/>
    </row>
    <row r="302" spans="1:32" x14ac:dyDescent="0.2">
      <c r="A302" s="5">
        <v>-7</v>
      </c>
      <c r="B302" s="6" t="s">
        <v>206</v>
      </c>
      <c r="C302" s="6" t="s">
        <v>71</v>
      </c>
      <c r="D302" s="6" t="s">
        <v>10</v>
      </c>
      <c r="E302" s="5">
        <v>7008</v>
      </c>
      <c r="G302" s="9">
        <v>45716</v>
      </c>
      <c r="H302" s="9">
        <v>46446</v>
      </c>
      <c r="I302" s="6" t="s">
        <v>2</v>
      </c>
      <c r="L302" s="18">
        <v>1</v>
      </c>
      <c r="M302" s="19">
        <v>4.25</v>
      </c>
      <c r="N302" s="18">
        <v>4.25</v>
      </c>
      <c r="T302" s="4"/>
      <c r="U302" s="4"/>
      <c r="V302" s="4"/>
      <c r="W302" s="4"/>
      <c r="X302" s="4"/>
      <c r="Y302" s="4"/>
      <c r="Z302" s="4"/>
      <c r="AA302" s="4"/>
      <c r="AD302" s="20" t="str">
        <f>IF((B302="")+(B302="Vacante")+(D302=""),"",IFERROR(MATCH(D302,{"Oficinas";"Locales";"Estacionamientos";"Bodegas"},0),5)&amp;"|"&amp;B302&amp;"|"&amp;TEXT(G302,"yyyymmdd")&amp;"|"&amp;TEXT(H302,"yyyymmdd"))</f>
        <v>3|TATTERSAL|20250228|20270228</v>
      </c>
      <c r="AE302" s="4"/>
      <c r="AF302" s="4"/>
    </row>
    <row r="303" spans="1:32" x14ac:dyDescent="0.2">
      <c r="A303" s="5">
        <v>-7</v>
      </c>
      <c r="B303" s="6" t="s">
        <v>206</v>
      </c>
      <c r="C303" s="6" t="s">
        <v>71</v>
      </c>
      <c r="D303" s="6" t="s">
        <v>10</v>
      </c>
      <c r="E303" s="5">
        <v>7009</v>
      </c>
      <c r="G303" s="9">
        <v>45716</v>
      </c>
      <c r="H303" s="9">
        <v>46446</v>
      </c>
      <c r="I303" s="6" t="s">
        <v>2</v>
      </c>
      <c r="L303" s="18">
        <v>1</v>
      </c>
      <c r="M303" s="19">
        <v>4.25</v>
      </c>
      <c r="N303" s="18">
        <v>4.25</v>
      </c>
      <c r="T303" s="4"/>
      <c r="U303" s="4"/>
      <c r="V303" s="4"/>
      <c r="W303" s="4"/>
      <c r="X303" s="4"/>
      <c r="Y303" s="4"/>
      <c r="Z303" s="4"/>
      <c r="AA303" s="4"/>
      <c r="AD303" s="20" t="str">
        <f>IF((B303="")+(B303="Vacante")+(D303=""),"",IFERROR(MATCH(D303,{"Oficinas";"Locales";"Estacionamientos";"Bodegas"},0),5)&amp;"|"&amp;B303&amp;"|"&amp;TEXT(G303,"yyyymmdd")&amp;"|"&amp;TEXT(H303,"yyyymmdd"))</f>
        <v>3|TATTERSAL|20250228|20270228</v>
      </c>
      <c r="AE303" s="4"/>
      <c r="AF303" s="4"/>
    </row>
    <row r="304" spans="1:32" x14ac:dyDescent="0.2">
      <c r="A304" s="5">
        <v>-7</v>
      </c>
      <c r="B304" s="6" t="s">
        <v>206</v>
      </c>
      <c r="C304" s="6" t="s">
        <v>71</v>
      </c>
      <c r="D304" s="6" t="s">
        <v>10</v>
      </c>
      <c r="E304" s="5">
        <v>7010</v>
      </c>
      <c r="G304" s="9">
        <v>45716</v>
      </c>
      <c r="H304" s="9">
        <v>46446</v>
      </c>
      <c r="I304" s="6" t="s">
        <v>2</v>
      </c>
      <c r="L304" s="18">
        <v>1</v>
      </c>
      <c r="M304" s="19">
        <v>4.25</v>
      </c>
      <c r="N304" s="18">
        <v>4.25</v>
      </c>
      <c r="T304" s="4"/>
      <c r="U304" s="4"/>
      <c r="V304" s="4"/>
      <c r="W304" s="4"/>
      <c r="X304" s="4"/>
      <c r="Y304" s="4"/>
      <c r="Z304" s="4"/>
      <c r="AA304" s="4"/>
      <c r="AD304" s="20" t="str">
        <f>IF((B304="")+(B304="Vacante")+(D304=""),"",IFERROR(MATCH(D304,{"Oficinas";"Locales";"Estacionamientos";"Bodegas"},0),5)&amp;"|"&amp;B304&amp;"|"&amp;TEXT(G304,"yyyymmdd")&amp;"|"&amp;TEXT(H304,"yyyymmdd"))</f>
        <v>3|TATTERSAL|20250228|20270228</v>
      </c>
      <c r="AE304" s="4"/>
      <c r="AF304" s="4"/>
    </row>
    <row r="305" spans="1:32" x14ac:dyDescent="0.2">
      <c r="A305" s="5">
        <v>-7</v>
      </c>
      <c r="B305" s="6" t="s">
        <v>206</v>
      </c>
      <c r="C305" s="6" t="s">
        <v>71</v>
      </c>
      <c r="D305" s="6" t="s">
        <v>10</v>
      </c>
      <c r="E305" s="5">
        <v>7011</v>
      </c>
      <c r="G305" s="9">
        <v>45716</v>
      </c>
      <c r="H305" s="9">
        <v>46446</v>
      </c>
      <c r="I305" s="6" t="s">
        <v>2</v>
      </c>
      <c r="L305" s="18">
        <v>1</v>
      </c>
      <c r="M305" s="19">
        <v>4</v>
      </c>
      <c r="N305" s="18">
        <v>4</v>
      </c>
      <c r="T305" s="4"/>
      <c r="U305" s="4"/>
      <c r="V305" s="4"/>
      <c r="W305" s="4"/>
      <c r="X305" s="4"/>
      <c r="Y305" s="4"/>
      <c r="Z305" s="4"/>
      <c r="AA305" s="4"/>
      <c r="AD305" s="20" t="str">
        <f>IF((B305="")+(B305="Vacante")+(D305=""),"",IFERROR(MATCH(D305,{"Oficinas";"Locales";"Estacionamientos";"Bodegas"},0),5)&amp;"|"&amp;B305&amp;"|"&amp;TEXT(G305,"yyyymmdd")&amp;"|"&amp;TEXT(H305,"yyyymmdd"))</f>
        <v>3|TATTERSAL|20250228|20270228</v>
      </c>
      <c r="AE305" s="4"/>
      <c r="AF305" s="4"/>
    </row>
    <row r="306" spans="1:32" x14ac:dyDescent="0.2">
      <c r="A306" s="5">
        <v>-7</v>
      </c>
      <c r="B306" s="6" t="s">
        <v>206</v>
      </c>
      <c r="C306" s="6" t="s">
        <v>71</v>
      </c>
      <c r="D306" s="6" t="s">
        <v>10</v>
      </c>
      <c r="E306" s="5">
        <v>7012</v>
      </c>
      <c r="G306" s="9">
        <v>45716</v>
      </c>
      <c r="H306" s="9">
        <v>46446</v>
      </c>
      <c r="I306" s="6" t="s">
        <v>2</v>
      </c>
      <c r="L306" s="18">
        <v>1</v>
      </c>
      <c r="M306" s="19">
        <v>4</v>
      </c>
      <c r="N306" s="18">
        <v>4</v>
      </c>
      <c r="T306" s="4"/>
      <c r="U306" s="4"/>
      <c r="V306" s="4"/>
      <c r="W306" s="4"/>
      <c r="X306" s="4"/>
      <c r="Y306" s="4"/>
      <c r="Z306" s="4"/>
      <c r="AA306" s="4"/>
      <c r="AD306" s="20" t="str">
        <f>IF((B306="")+(B306="Vacante")+(D306=""),"",IFERROR(MATCH(D306,{"Oficinas";"Locales";"Estacionamientos";"Bodegas"},0),5)&amp;"|"&amp;B306&amp;"|"&amp;TEXT(G306,"yyyymmdd")&amp;"|"&amp;TEXT(H306,"yyyymmdd"))</f>
        <v>3|TATTERSAL|20250228|20270228</v>
      </c>
      <c r="AE306" s="4"/>
      <c r="AF306" s="4"/>
    </row>
    <row r="307" spans="1:32" x14ac:dyDescent="0.2">
      <c r="A307" s="5">
        <v>-7</v>
      </c>
      <c r="B307" s="6" t="s">
        <v>206</v>
      </c>
      <c r="C307" s="6" t="s">
        <v>71</v>
      </c>
      <c r="D307" s="6" t="s">
        <v>10</v>
      </c>
      <c r="E307" s="5">
        <v>7013</v>
      </c>
      <c r="G307" s="9">
        <v>45716</v>
      </c>
      <c r="H307" s="9">
        <v>46446</v>
      </c>
      <c r="I307" s="6" t="s">
        <v>2</v>
      </c>
      <c r="L307" s="18">
        <v>1</v>
      </c>
      <c r="M307" s="19">
        <v>4</v>
      </c>
      <c r="N307" s="18">
        <v>4</v>
      </c>
      <c r="T307" s="4"/>
      <c r="U307" s="4"/>
      <c r="V307" s="4"/>
      <c r="W307" s="4"/>
      <c r="X307" s="4"/>
      <c r="Y307" s="4"/>
      <c r="Z307" s="4"/>
      <c r="AA307" s="4"/>
      <c r="AD307" s="20" t="str">
        <f>IF((B307="")+(B307="Vacante")+(D307=""),"",IFERROR(MATCH(D307,{"Oficinas";"Locales";"Estacionamientos";"Bodegas"},0),5)&amp;"|"&amp;B307&amp;"|"&amp;TEXT(G307,"yyyymmdd")&amp;"|"&amp;TEXT(H307,"yyyymmdd"))</f>
        <v>3|TATTERSAL|20250228|20270228</v>
      </c>
      <c r="AE307" s="4"/>
      <c r="AF307" s="4"/>
    </row>
    <row r="308" spans="1:32" x14ac:dyDescent="0.2">
      <c r="A308" s="5">
        <v>-7</v>
      </c>
      <c r="B308" s="6" t="s">
        <v>206</v>
      </c>
      <c r="C308" s="6" t="s">
        <v>71</v>
      </c>
      <c r="D308" s="6" t="s">
        <v>10</v>
      </c>
      <c r="E308" s="5">
        <v>7014</v>
      </c>
      <c r="G308" s="9">
        <v>45716</v>
      </c>
      <c r="H308" s="9">
        <v>46446</v>
      </c>
      <c r="I308" s="6" t="s">
        <v>2</v>
      </c>
      <c r="L308" s="18">
        <v>1</v>
      </c>
      <c r="M308" s="19">
        <v>4</v>
      </c>
      <c r="N308" s="18">
        <v>4</v>
      </c>
      <c r="T308" s="4"/>
      <c r="U308" s="4"/>
      <c r="V308" s="4"/>
      <c r="W308" s="4"/>
      <c r="X308" s="4"/>
      <c r="Y308" s="4"/>
      <c r="Z308" s="4"/>
      <c r="AA308" s="4"/>
      <c r="AD308" s="20" t="str">
        <f>IF((B308="")+(B308="Vacante")+(D308=""),"",IFERROR(MATCH(D308,{"Oficinas";"Locales";"Estacionamientos";"Bodegas"},0),5)&amp;"|"&amp;B308&amp;"|"&amp;TEXT(G308,"yyyymmdd")&amp;"|"&amp;TEXT(H308,"yyyymmdd"))</f>
        <v>3|TATTERSAL|20250228|20270228</v>
      </c>
      <c r="AE308" s="4"/>
      <c r="AF308" s="4"/>
    </row>
    <row r="309" spans="1:32" x14ac:dyDescent="0.2">
      <c r="A309" s="5">
        <v>-7</v>
      </c>
      <c r="B309" s="6" t="s">
        <v>206</v>
      </c>
      <c r="C309" s="6" t="s">
        <v>71</v>
      </c>
      <c r="D309" s="6" t="s">
        <v>10</v>
      </c>
      <c r="E309" s="5">
        <v>7015</v>
      </c>
      <c r="G309" s="9">
        <v>45716</v>
      </c>
      <c r="H309" s="9">
        <v>46446</v>
      </c>
      <c r="I309" s="6" t="s">
        <v>2</v>
      </c>
      <c r="L309" s="18">
        <v>1</v>
      </c>
      <c r="M309" s="19">
        <v>4</v>
      </c>
      <c r="N309" s="18">
        <v>4</v>
      </c>
      <c r="T309" s="4"/>
      <c r="U309" s="4"/>
      <c r="V309" s="4"/>
      <c r="W309" s="4"/>
      <c r="X309" s="4"/>
      <c r="Y309" s="4"/>
      <c r="Z309" s="4"/>
      <c r="AA309" s="4"/>
      <c r="AD309" s="20" t="str">
        <f>IF((B309="")+(B309="Vacante")+(D309=""),"",IFERROR(MATCH(D309,{"Oficinas";"Locales";"Estacionamientos";"Bodegas"},0),5)&amp;"|"&amp;B309&amp;"|"&amp;TEXT(G309,"yyyymmdd")&amp;"|"&amp;TEXT(H309,"yyyymmdd"))</f>
        <v>3|TATTERSAL|20250228|20270228</v>
      </c>
      <c r="AE309" s="4"/>
      <c r="AF309" s="4"/>
    </row>
    <row r="310" spans="1:32" x14ac:dyDescent="0.2">
      <c r="A310" s="5">
        <v>-7</v>
      </c>
      <c r="B310" s="6" t="s">
        <v>206</v>
      </c>
      <c r="C310" s="6" t="s">
        <v>71</v>
      </c>
      <c r="D310" s="6" t="s">
        <v>10</v>
      </c>
      <c r="E310" s="5">
        <v>7016</v>
      </c>
      <c r="G310" s="9">
        <v>45716</v>
      </c>
      <c r="H310" s="9">
        <v>46446</v>
      </c>
      <c r="I310" s="6" t="s">
        <v>2</v>
      </c>
      <c r="L310" s="18">
        <v>1</v>
      </c>
      <c r="M310" s="19">
        <v>4</v>
      </c>
      <c r="N310" s="18">
        <v>4</v>
      </c>
      <c r="T310" s="4"/>
      <c r="U310" s="4"/>
      <c r="V310" s="4"/>
      <c r="W310" s="4"/>
      <c r="X310" s="4"/>
      <c r="Y310" s="4"/>
      <c r="Z310" s="4"/>
      <c r="AA310" s="4"/>
      <c r="AD310" s="20" t="str">
        <f>IF((B310="")+(B310="Vacante")+(D310=""),"",IFERROR(MATCH(D310,{"Oficinas";"Locales";"Estacionamientos";"Bodegas"},0),5)&amp;"|"&amp;B310&amp;"|"&amp;TEXT(G310,"yyyymmdd")&amp;"|"&amp;TEXT(H310,"yyyymmdd"))</f>
        <v>3|TATTERSAL|20250228|20270228</v>
      </c>
      <c r="AE310" s="4"/>
      <c r="AF310" s="4"/>
    </row>
    <row r="311" spans="1:32" x14ac:dyDescent="0.2">
      <c r="A311" s="5">
        <v>-7</v>
      </c>
      <c r="B311" s="6" t="s">
        <v>206</v>
      </c>
      <c r="C311" s="6" t="s">
        <v>71</v>
      </c>
      <c r="D311" s="6" t="s">
        <v>10</v>
      </c>
      <c r="E311" s="5">
        <v>7017</v>
      </c>
      <c r="G311" s="9">
        <v>45716</v>
      </c>
      <c r="H311" s="9">
        <v>46446</v>
      </c>
      <c r="I311" s="6" t="s">
        <v>2</v>
      </c>
      <c r="L311" s="18">
        <v>1</v>
      </c>
      <c r="M311" s="19">
        <v>4</v>
      </c>
      <c r="N311" s="18">
        <v>4</v>
      </c>
      <c r="T311" s="4"/>
      <c r="U311" s="4"/>
      <c r="V311" s="4"/>
      <c r="W311" s="4"/>
      <c r="X311" s="4"/>
      <c r="Y311" s="4"/>
      <c r="Z311" s="4"/>
      <c r="AA311" s="4"/>
      <c r="AD311" s="20" t="str">
        <f>IF((B311="")+(B311="Vacante")+(D311=""),"",IFERROR(MATCH(D311,{"Oficinas";"Locales";"Estacionamientos";"Bodegas"},0),5)&amp;"|"&amp;B311&amp;"|"&amp;TEXT(G311,"yyyymmdd")&amp;"|"&amp;TEXT(H311,"yyyymmdd"))</f>
        <v>3|TATTERSAL|20250228|20270228</v>
      </c>
      <c r="AE311" s="4"/>
      <c r="AF311" s="4"/>
    </row>
    <row r="312" spans="1:32" x14ac:dyDescent="0.2">
      <c r="A312" s="5">
        <v>-7</v>
      </c>
      <c r="B312" s="6" t="s">
        <v>206</v>
      </c>
      <c r="C312" s="6" t="s">
        <v>71</v>
      </c>
      <c r="D312" s="6" t="s">
        <v>10</v>
      </c>
      <c r="E312" s="5">
        <v>7018</v>
      </c>
      <c r="G312" s="9">
        <v>45716</v>
      </c>
      <c r="H312" s="9">
        <v>46446</v>
      </c>
      <c r="I312" s="6" t="s">
        <v>2</v>
      </c>
      <c r="L312" s="18">
        <v>1</v>
      </c>
      <c r="M312" s="19">
        <v>4</v>
      </c>
      <c r="N312" s="18">
        <v>4</v>
      </c>
      <c r="T312" s="4"/>
      <c r="U312" s="4"/>
      <c r="V312" s="4"/>
      <c r="W312" s="4"/>
      <c r="X312" s="4"/>
      <c r="Y312" s="4"/>
      <c r="Z312" s="4"/>
      <c r="AA312" s="4"/>
      <c r="AD312" s="20" t="str">
        <f>IF((B312="")+(B312="Vacante")+(D312=""),"",IFERROR(MATCH(D312,{"Oficinas";"Locales";"Estacionamientos";"Bodegas"},0),5)&amp;"|"&amp;B312&amp;"|"&amp;TEXT(G312,"yyyymmdd")&amp;"|"&amp;TEXT(H312,"yyyymmdd"))</f>
        <v>3|TATTERSAL|20250228|20270228</v>
      </c>
      <c r="AE312" s="4"/>
      <c r="AF312" s="4"/>
    </row>
    <row r="313" spans="1:32" x14ac:dyDescent="0.2">
      <c r="A313" s="5">
        <v>-7</v>
      </c>
      <c r="B313" s="6" t="s">
        <v>206</v>
      </c>
      <c r="C313" s="6" t="s">
        <v>71</v>
      </c>
      <c r="D313" s="6" t="s">
        <v>10</v>
      </c>
      <c r="E313" s="5">
        <v>7019</v>
      </c>
      <c r="G313" s="9">
        <v>45716</v>
      </c>
      <c r="H313" s="9">
        <v>46446</v>
      </c>
      <c r="I313" s="6" t="s">
        <v>2</v>
      </c>
      <c r="L313" s="18">
        <v>1</v>
      </c>
      <c r="M313" s="19">
        <v>4</v>
      </c>
      <c r="N313" s="18">
        <v>4</v>
      </c>
      <c r="T313" s="4"/>
      <c r="U313" s="4"/>
      <c r="V313" s="4"/>
      <c r="W313" s="4"/>
      <c r="X313" s="4"/>
      <c r="Y313" s="4"/>
      <c r="Z313" s="4"/>
      <c r="AA313" s="4"/>
      <c r="AD313" s="20" t="str">
        <f>IF((B313="")+(B313="Vacante")+(D313=""),"",IFERROR(MATCH(D313,{"Oficinas";"Locales";"Estacionamientos";"Bodegas"},0),5)&amp;"|"&amp;B313&amp;"|"&amp;TEXT(G313,"yyyymmdd")&amp;"|"&amp;TEXT(H313,"yyyymmdd"))</f>
        <v>3|TATTERSAL|20250228|20270228</v>
      </c>
      <c r="AE313" s="4"/>
      <c r="AF313" s="4"/>
    </row>
    <row r="314" spans="1:32" x14ac:dyDescent="0.2">
      <c r="A314" s="5">
        <v>-7</v>
      </c>
      <c r="B314" s="6" t="s">
        <v>206</v>
      </c>
      <c r="C314" s="6" t="s">
        <v>71</v>
      </c>
      <c r="D314" s="6" t="s">
        <v>10</v>
      </c>
      <c r="E314" s="5">
        <v>7020</v>
      </c>
      <c r="G314" s="9">
        <v>45716</v>
      </c>
      <c r="H314" s="9">
        <v>46446</v>
      </c>
      <c r="I314" s="6" t="s">
        <v>2</v>
      </c>
      <c r="L314" s="18">
        <v>1</v>
      </c>
      <c r="M314" s="19">
        <v>4</v>
      </c>
      <c r="N314" s="18">
        <v>4</v>
      </c>
      <c r="T314" s="4"/>
      <c r="U314" s="4"/>
      <c r="V314" s="4"/>
      <c r="W314" s="4"/>
      <c r="X314" s="4"/>
      <c r="Y314" s="4"/>
      <c r="Z314" s="4"/>
      <c r="AA314" s="4"/>
      <c r="AD314" s="20" t="str">
        <f>IF((B314="")+(B314="Vacante")+(D314=""),"",IFERROR(MATCH(D314,{"Oficinas";"Locales";"Estacionamientos";"Bodegas"},0),5)&amp;"|"&amp;B314&amp;"|"&amp;TEXT(G314,"yyyymmdd")&amp;"|"&amp;TEXT(H314,"yyyymmdd"))</f>
        <v>3|TATTERSAL|20250228|20270228</v>
      </c>
      <c r="AE314" s="4"/>
      <c r="AF314" s="4"/>
    </row>
    <row r="315" spans="1:32" x14ac:dyDescent="0.2">
      <c r="A315" s="5">
        <v>-7</v>
      </c>
      <c r="B315" s="6" t="s">
        <v>4</v>
      </c>
      <c r="C315" s="6" t="s">
        <v>4</v>
      </c>
      <c r="D315" s="6" t="s">
        <v>10</v>
      </c>
      <c r="E315" s="5">
        <v>7021</v>
      </c>
      <c r="G315" s="9" t="s">
        <v>9</v>
      </c>
      <c r="H315" s="9" t="s">
        <v>9</v>
      </c>
      <c r="I315" s="6" t="s">
        <v>2</v>
      </c>
      <c r="L315" s="18">
        <v>1</v>
      </c>
      <c r="M315" s="19">
        <v>0</v>
      </c>
      <c r="N315" s="18">
        <v>0</v>
      </c>
      <c r="T315" s="4"/>
      <c r="U315" s="4"/>
      <c r="V315" s="4"/>
      <c r="W315" s="4"/>
      <c r="X315" s="4"/>
      <c r="Y315" s="4"/>
      <c r="Z315" s="4"/>
      <c r="AA315" s="4"/>
      <c r="AD315" s="20" t="str">
        <f>IF((B315="")+(B315="Vacante")+(D315=""),"",IFERROR(MATCH(D315,{"Oficinas";"Locales";"Estacionamientos";"Bodegas"},0),5)&amp;"|"&amp;B315&amp;"|"&amp;TEXT(G315,"yyyymmdd")&amp;"|"&amp;TEXT(H315,"yyyymmdd"))</f>
        <v/>
      </c>
      <c r="AE315" s="4"/>
      <c r="AF315" s="4"/>
    </row>
    <row r="316" spans="1:32" x14ac:dyDescent="0.2">
      <c r="A316" s="5">
        <v>-7</v>
      </c>
      <c r="B316" s="6" t="s">
        <v>206</v>
      </c>
      <c r="C316" s="6" t="s">
        <v>71</v>
      </c>
      <c r="D316" s="6" t="s">
        <v>10</v>
      </c>
      <c r="E316" s="5">
        <v>7022</v>
      </c>
      <c r="G316" s="9">
        <v>45716</v>
      </c>
      <c r="H316" s="9">
        <v>46446</v>
      </c>
      <c r="I316" s="6" t="s">
        <v>2</v>
      </c>
      <c r="L316" s="18">
        <v>1</v>
      </c>
      <c r="M316" s="19">
        <v>4</v>
      </c>
      <c r="N316" s="18">
        <v>4</v>
      </c>
      <c r="T316" s="4"/>
      <c r="U316" s="4"/>
      <c r="V316" s="4"/>
      <c r="W316" s="4"/>
      <c r="X316" s="4"/>
      <c r="Y316" s="4"/>
      <c r="Z316" s="4"/>
      <c r="AA316" s="4"/>
      <c r="AD316" s="20" t="str">
        <f>IF((B316="")+(B316="Vacante")+(D316=""),"",IFERROR(MATCH(D316,{"Oficinas";"Locales";"Estacionamientos";"Bodegas"},0),5)&amp;"|"&amp;B316&amp;"|"&amp;TEXT(G316,"yyyymmdd")&amp;"|"&amp;TEXT(H316,"yyyymmdd"))</f>
        <v>3|TATTERSAL|20250228|20270228</v>
      </c>
      <c r="AE316" s="4"/>
      <c r="AF316" s="4"/>
    </row>
    <row r="317" spans="1:32" x14ac:dyDescent="0.2">
      <c r="A317" s="5">
        <v>-7</v>
      </c>
      <c r="B317" s="6" t="s">
        <v>198</v>
      </c>
      <c r="C317" s="6" t="s">
        <v>61</v>
      </c>
      <c r="D317" s="6" t="s">
        <v>10</v>
      </c>
      <c r="E317" s="5">
        <v>7023</v>
      </c>
      <c r="F317" s="6" t="s">
        <v>104</v>
      </c>
      <c r="G317" s="9">
        <v>46522</v>
      </c>
      <c r="H317" s="9">
        <v>47361</v>
      </c>
      <c r="I317" s="6" t="s">
        <v>2</v>
      </c>
      <c r="L317" s="18">
        <v>1</v>
      </c>
      <c r="M317" s="19">
        <v>6</v>
      </c>
      <c r="N317" s="18">
        <v>6</v>
      </c>
      <c r="T317" s="4"/>
      <c r="U317" s="4"/>
      <c r="V317" s="4"/>
      <c r="W317" s="4"/>
      <c r="X317" s="4"/>
      <c r="Y317" s="4"/>
      <c r="Z317" s="4"/>
      <c r="AA317" s="4"/>
      <c r="AD317" s="20" t="str">
        <f>IF((B317="")+(B317="Vacante")+(D317=""),"",IFERROR(MATCH(D317,{"Oficinas";"Locales";"Estacionamientos";"Bodegas"},0),5)&amp;"|"&amp;B317&amp;"|"&amp;TEXT(G317,"yyyymmdd")&amp;"|"&amp;TEXT(H317,"yyyymmdd"))</f>
        <v>3|DEUTSCHE PHARMA|20270515|20290831</v>
      </c>
      <c r="AE317" s="4"/>
      <c r="AF317" s="4"/>
    </row>
    <row r="318" spans="1:32" x14ac:dyDescent="0.2">
      <c r="A318" s="5">
        <v>-7</v>
      </c>
      <c r="B318" s="6" t="s">
        <v>198</v>
      </c>
      <c r="C318" s="6" t="s">
        <v>61</v>
      </c>
      <c r="D318" s="6" t="s">
        <v>10</v>
      </c>
      <c r="E318" s="5">
        <v>7024</v>
      </c>
      <c r="F318" s="6" t="s">
        <v>104</v>
      </c>
      <c r="G318" s="9">
        <v>46522</v>
      </c>
      <c r="H318" s="9">
        <v>47361</v>
      </c>
      <c r="I318" s="6" t="s">
        <v>2</v>
      </c>
      <c r="L318" s="18">
        <v>1</v>
      </c>
      <c r="M318" s="19">
        <v>6</v>
      </c>
      <c r="N318" s="18">
        <v>6</v>
      </c>
      <c r="T318" s="4"/>
      <c r="U318" s="4"/>
      <c r="V318" s="4"/>
      <c r="W318" s="4"/>
      <c r="X318" s="4"/>
      <c r="Y318" s="4"/>
      <c r="Z318" s="4"/>
      <c r="AA318" s="4"/>
      <c r="AD318" s="20" t="str">
        <f>IF((B318="")+(B318="Vacante")+(D318=""),"",IFERROR(MATCH(D318,{"Oficinas";"Locales";"Estacionamientos";"Bodegas"},0),5)&amp;"|"&amp;B318&amp;"|"&amp;TEXT(G318,"yyyymmdd")&amp;"|"&amp;TEXT(H318,"yyyymmdd"))</f>
        <v>3|DEUTSCHE PHARMA|20270515|20290831</v>
      </c>
      <c r="AE318" s="4"/>
      <c r="AF318" s="4"/>
    </row>
    <row r="319" spans="1:32" x14ac:dyDescent="0.2">
      <c r="A319" s="5">
        <v>-7</v>
      </c>
      <c r="B319" s="6" t="s">
        <v>198</v>
      </c>
      <c r="C319" s="6" t="s">
        <v>61</v>
      </c>
      <c r="D319" s="6" t="s">
        <v>10</v>
      </c>
      <c r="E319" s="5">
        <v>7025</v>
      </c>
      <c r="F319" s="6" t="s">
        <v>104</v>
      </c>
      <c r="G319" s="9">
        <v>46522</v>
      </c>
      <c r="H319" s="9">
        <v>47361</v>
      </c>
      <c r="I319" s="6" t="s">
        <v>2</v>
      </c>
      <c r="L319" s="18">
        <v>1</v>
      </c>
      <c r="M319" s="19">
        <v>6</v>
      </c>
      <c r="N319" s="18">
        <v>6</v>
      </c>
      <c r="T319" s="4"/>
      <c r="U319" s="4"/>
      <c r="V319" s="4"/>
      <c r="W319" s="4"/>
      <c r="X319" s="4"/>
      <c r="Y319" s="4"/>
      <c r="Z319" s="4"/>
      <c r="AA319" s="4"/>
      <c r="AD319" s="20" t="str">
        <f>IF((B319="")+(B319="Vacante")+(D319=""),"",IFERROR(MATCH(D319,{"Oficinas";"Locales";"Estacionamientos";"Bodegas"},0),5)&amp;"|"&amp;B319&amp;"|"&amp;TEXT(G319,"yyyymmdd")&amp;"|"&amp;TEXT(H319,"yyyymmdd"))</f>
        <v>3|DEUTSCHE PHARMA|20270515|20290831</v>
      </c>
      <c r="AE319" s="4"/>
      <c r="AF319" s="4"/>
    </row>
    <row r="320" spans="1:32" x14ac:dyDescent="0.2">
      <c r="A320" s="5">
        <v>-7</v>
      </c>
      <c r="B320" s="6" t="s">
        <v>181</v>
      </c>
      <c r="C320" s="6" t="s">
        <v>44</v>
      </c>
      <c r="D320" s="6" t="s">
        <v>10</v>
      </c>
      <c r="E320" s="5">
        <v>7026</v>
      </c>
      <c r="F320" s="6" t="s">
        <v>104</v>
      </c>
      <c r="G320" s="9">
        <v>46457</v>
      </c>
      <c r="H320" s="9">
        <v>47187</v>
      </c>
      <c r="I320" s="6" t="s">
        <v>2</v>
      </c>
      <c r="L320" s="18">
        <v>1</v>
      </c>
      <c r="M320" s="19">
        <v>5</v>
      </c>
      <c r="N320" s="18">
        <v>5</v>
      </c>
      <c r="T320" s="4"/>
      <c r="U320" s="4"/>
      <c r="V320" s="4"/>
      <c r="W320" s="4"/>
      <c r="X320" s="4"/>
      <c r="Y320" s="4"/>
      <c r="Z320" s="4"/>
      <c r="AA320" s="4"/>
      <c r="AD320" s="20" t="str">
        <f>IF((B320="")+(B320="Vacante")+(D320=""),"",IFERROR(MATCH(D320,{"Oficinas";"Locales";"Estacionamientos";"Bodegas"},0),5)&amp;"|"&amp;B320&amp;"|"&amp;TEXT(G320,"yyyymmdd")&amp;"|"&amp;TEXT(H320,"yyyymmdd"))</f>
        <v>3|PRICE FORBES |20270311|20290310</v>
      </c>
      <c r="AE320" s="4"/>
      <c r="AF320" s="4"/>
    </row>
    <row r="321" spans="1:32" x14ac:dyDescent="0.2">
      <c r="A321" s="5">
        <v>-7</v>
      </c>
      <c r="B321" s="6" t="s">
        <v>181</v>
      </c>
      <c r="C321" s="6" t="s">
        <v>44</v>
      </c>
      <c r="D321" s="6" t="s">
        <v>10</v>
      </c>
      <c r="E321" s="5">
        <v>7027</v>
      </c>
      <c r="F321" s="6" t="s">
        <v>104</v>
      </c>
      <c r="G321" s="9">
        <v>46457</v>
      </c>
      <c r="H321" s="9">
        <v>47187</v>
      </c>
      <c r="I321" s="6" t="s">
        <v>2</v>
      </c>
      <c r="L321" s="18">
        <v>1</v>
      </c>
      <c r="M321" s="19">
        <v>5</v>
      </c>
      <c r="N321" s="18">
        <v>5</v>
      </c>
      <c r="T321" s="4"/>
      <c r="U321" s="4"/>
      <c r="V321" s="4"/>
      <c r="W321" s="4"/>
      <c r="X321" s="4"/>
      <c r="Y321" s="4"/>
      <c r="Z321" s="4"/>
      <c r="AA321" s="4"/>
      <c r="AD321" s="20" t="str">
        <f>IF((B321="")+(B321="Vacante")+(D321=""),"",IFERROR(MATCH(D321,{"Oficinas";"Locales";"Estacionamientos";"Bodegas"},0),5)&amp;"|"&amp;B321&amp;"|"&amp;TEXT(G321,"yyyymmdd")&amp;"|"&amp;TEXT(H321,"yyyymmdd"))</f>
        <v>3|PRICE FORBES |20270311|20290310</v>
      </c>
      <c r="AE321" s="4"/>
      <c r="AF321" s="4"/>
    </row>
    <row r="322" spans="1:32" x14ac:dyDescent="0.2">
      <c r="A322" s="5">
        <v>-7</v>
      </c>
      <c r="B322" s="6" t="s">
        <v>181</v>
      </c>
      <c r="C322" s="6" t="s">
        <v>44</v>
      </c>
      <c r="D322" s="6" t="s">
        <v>10</v>
      </c>
      <c r="E322" s="5">
        <v>7028</v>
      </c>
      <c r="F322" s="6" t="s">
        <v>104</v>
      </c>
      <c r="G322" s="9">
        <v>46457</v>
      </c>
      <c r="H322" s="9">
        <v>47187</v>
      </c>
      <c r="I322" s="6" t="s">
        <v>2</v>
      </c>
      <c r="L322" s="18">
        <v>1</v>
      </c>
      <c r="M322" s="19">
        <v>5</v>
      </c>
      <c r="N322" s="18">
        <v>5</v>
      </c>
      <c r="T322" s="4"/>
      <c r="U322" s="4"/>
      <c r="V322" s="4"/>
      <c r="W322" s="4"/>
      <c r="X322" s="4"/>
      <c r="Y322" s="4"/>
      <c r="Z322" s="4"/>
      <c r="AA322" s="4"/>
      <c r="AD322" s="20" t="str">
        <f>IF((B322="")+(B322="Vacante")+(D322=""),"",IFERROR(MATCH(D322,{"Oficinas";"Locales";"Estacionamientos";"Bodegas"},0),5)&amp;"|"&amp;B322&amp;"|"&amp;TEXT(G322,"yyyymmdd")&amp;"|"&amp;TEXT(H322,"yyyymmdd"))</f>
        <v>3|PRICE FORBES |20270311|20290310</v>
      </c>
      <c r="AE322" s="4"/>
      <c r="AF322" s="4"/>
    </row>
    <row r="323" spans="1:32" x14ac:dyDescent="0.2">
      <c r="A323" s="5">
        <v>-7</v>
      </c>
      <c r="B323" s="6" t="s">
        <v>4</v>
      </c>
      <c r="C323" s="6" t="s">
        <v>4</v>
      </c>
      <c r="D323" s="6" t="s">
        <v>10</v>
      </c>
      <c r="E323" s="5">
        <v>7029</v>
      </c>
      <c r="F323" s="6" t="s">
        <v>104</v>
      </c>
      <c r="G323" s="9" t="s">
        <v>9</v>
      </c>
      <c r="H323" s="9" t="s">
        <v>9</v>
      </c>
      <c r="I323" s="6" t="s">
        <v>2</v>
      </c>
      <c r="L323" s="18">
        <v>1</v>
      </c>
      <c r="M323" s="19">
        <v>0</v>
      </c>
      <c r="N323" s="18">
        <v>0</v>
      </c>
      <c r="T323" s="4"/>
      <c r="U323" s="4"/>
      <c r="V323" s="4"/>
      <c r="W323" s="4"/>
      <c r="X323" s="4"/>
      <c r="Y323" s="4"/>
      <c r="Z323" s="4"/>
      <c r="AA323" s="4"/>
      <c r="AD323" s="20" t="str">
        <f>IF((B323="")+(B323="Vacante")+(D323=""),"",IFERROR(MATCH(D323,{"Oficinas";"Locales";"Estacionamientos";"Bodegas"},0),5)&amp;"|"&amp;B323&amp;"|"&amp;TEXT(G323,"yyyymmdd")&amp;"|"&amp;TEXT(H323,"yyyymmdd"))</f>
        <v/>
      </c>
      <c r="AE323" s="4"/>
      <c r="AF323" s="4"/>
    </row>
    <row r="324" spans="1:32" x14ac:dyDescent="0.2">
      <c r="A324" s="5">
        <v>-7</v>
      </c>
      <c r="B324" s="6" t="s">
        <v>193</v>
      </c>
      <c r="C324" s="6" t="s">
        <v>24</v>
      </c>
      <c r="D324" s="6" t="s">
        <v>10</v>
      </c>
      <c r="E324" s="5">
        <v>7030</v>
      </c>
      <c r="G324" s="9" t="s">
        <v>9</v>
      </c>
      <c r="H324" s="9">
        <v>47528</v>
      </c>
      <c r="I324" s="6" t="s">
        <v>2</v>
      </c>
      <c r="L324" s="18">
        <v>1</v>
      </c>
      <c r="M324" s="19">
        <v>3</v>
      </c>
      <c r="N324" s="18">
        <v>3</v>
      </c>
      <c r="T324" s="4"/>
      <c r="U324" s="4"/>
      <c r="V324" s="4"/>
      <c r="W324" s="4"/>
      <c r="X324" s="4"/>
      <c r="Y324" s="4"/>
      <c r="Z324" s="4"/>
      <c r="AA324" s="4"/>
      <c r="AD324" s="20" t="str">
        <f>IF((B324="")+(B324="Vacante")+(D324=""),"",IFERROR(MATCH(D324,{"Oficinas";"Locales";"Estacionamientos";"Bodegas"},0),5)&amp;"|"&amp;B324&amp;"|"&amp;TEXT(G324,"yyyymmdd")&amp;"|"&amp;TEXT(H324,"yyyymmdd"))</f>
        <v>3|STELLANTIS|-|20300214</v>
      </c>
      <c r="AE324" s="4"/>
      <c r="AF324" s="4"/>
    </row>
    <row r="325" spans="1:32" x14ac:dyDescent="0.2">
      <c r="A325" s="5">
        <v>-7</v>
      </c>
      <c r="B325" s="6" t="s">
        <v>193</v>
      </c>
      <c r="C325" s="6" t="s">
        <v>24</v>
      </c>
      <c r="D325" s="6" t="s">
        <v>10</v>
      </c>
      <c r="E325" s="5">
        <v>7031</v>
      </c>
      <c r="G325" s="9" t="s">
        <v>9</v>
      </c>
      <c r="H325" s="9">
        <v>47528</v>
      </c>
      <c r="I325" s="6" t="s">
        <v>2</v>
      </c>
      <c r="L325" s="18">
        <v>1</v>
      </c>
      <c r="M325" s="19">
        <v>3</v>
      </c>
      <c r="N325" s="18">
        <v>3</v>
      </c>
      <c r="T325" s="4"/>
      <c r="U325" s="4"/>
      <c r="V325" s="4"/>
      <c r="W325" s="4"/>
      <c r="X325" s="4"/>
      <c r="Y325" s="4"/>
      <c r="Z325" s="4"/>
      <c r="AA325" s="4"/>
      <c r="AD325" s="20" t="str">
        <f>IF((B325="")+(B325="Vacante")+(D325=""),"",IFERROR(MATCH(D325,{"Oficinas";"Locales";"Estacionamientos";"Bodegas"},0),5)&amp;"|"&amp;B325&amp;"|"&amp;TEXT(G325,"yyyymmdd")&amp;"|"&amp;TEXT(H325,"yyyymmdd"))</f>
        <v>3|STELLANTIS|-|20300214</v>
      </c>
      <c r="AE325" s="4"/>
      <c r="AF325" s="4"/>
    </row>
    <row r="326" spans="1:32" x14ac:dyDescent="0.2">
      <c r="A326" s="5">
        <v>-7</v>
      </c>
      <c r="B326" s="6" t="s">
        <v>206</v>
      </c>
      <c r="C326" s="6" t="s">
        <v>71</v>
      </c>
      <c r="D326" s="6" t="s">
        <v>10</v>
      </c>
      <c r="E326" s="5">
        <v>7032</v>
      </c>
      <c r="G326" s="9">
        <v>45716</v>
      </c>
      <c r="H326" s="9">
        <v>46446</v>
      </c>
      <c r="I326" s="6" t="s">
        <v>2</v>
      </c>
      <c r="L326" s="18">
        <v>1</v>
      </c>
      <c r="M326" s="19">
        <v>4</v>
      </c>
      <c r="N326" s="18">
        <v>4</v>
      </c>
      <c r="T326" s="4"/>
      <c r="U326" s="4"/>
      <c r="V326" s="4"/>
      <c r="W326" s="4"/>
      <c r="X326" s="4"/>
      <c r="Y326" s="4"/>
      <c r="Z326" s="4"/>
      <c r="AA326" s="4"/>
      <c r="AD326" s="20" t="str">
        <f>IF((B326="")+(B326="Vacante")+(D326=""),"",IFERROR(MATCH(D326,{"Oficinas";"Locales";"Estacionamientos";"Bodegas"},0),5)&amp;"|"&amp;B326&amp;"|"&amp;TEXT(G326,"yyyymmdd")&amp;"|"&amp;TEXT(H326,"yyyymmdd"))</f>
        <v>3|TATTERSAL|20250228|20270228</v>
      </c>
      <c r="AE326" s="4"/>
      <c r="AF326" s="4"/>
    </row>
    <row r="327" spans="1:32" x14ac:dyDescent="0.2">
      <c r="A327" s="5">
        <v>-7</v>
      </c>
      <c r="B327" s="6" t="s">
        <v>193</v>
      </c>
      <c r="C327" s="6" t="s">
        <v>24</v>
      </c>
      <c r="D327" s="6" t="s">
        <v>10</v>
      </c>
      <c r="E327" s="5">
        <v>7033</v>
      </c>
      <c r="G327" s="9" t="s">
        <v>9</v>
      </c>
      <c r="H327" s="9">
        <v>47528</v>
      </c>
      <c r="I327" s="6" t="s">
        <v>2</v>
      </c>
      <c r="L327" s="18">
        <v>1</v>
      </c>
      <c r="M327" s="19">
        <v>3</v>
      </c>
      <c r="N327" s="18">
        <v>3</v>
      </c>
      <c r="T327" s="4"/>
      <c r="U327" s="4"/>
      <c r="V327" s="4"/>
      <c r="W327" s="4"/>
      <c r="X327" s="4"/>
      <c r="Y327" s="4"/>
      <c r="Z327" s="4"/>
      <c r="AA327" s="4"/>
      <c r="AD327" s="20" t="str">
        <f>IF((B327="")+(B327="Vacante")+(D327=""),"",IFERROR(MATCH(D327,{"Oficinas";"Locales";"Estacionamientos";"Bodegas"},0),5)&amp;"|"&amp;B327&amp;"|"&amp;TEXT(G327,"yyyymmdd")&amp;"|"&amp;TEXT(H327,"yyyymmdd"))</f>
        <v>3|STELLANTIS|-|20300214</v>
      </c>
      <c r="AE327" s="4"/>
      <c r="AF327" s="4"/>
    </row>
    <row r="328" spans="1:32" x14ac:dyDescent="0.2">
      <c r="A328" s="5">
        <v>-7</v>
      </c>
      <c r="B328" s="6" t="s">
        <v>193</v>
      </c>
      <c r="C328" s="6" t="s">
        <v>24</v>
      </c>
      <c r="D328" s="6" t="s">
        <v>10</v>
      </c>
      <c r="E328" s="5">
        <v>7034</v>
      </c>
      <c r="G328" s="9" t="s">
        <v>9</v>
      </c>
      <c r="H328" s="9">
        <v>47528</v>
      </c>
      <c r="I328" s="6" t="s">
        <v>2</v>
      </c>
      <c r="L328" s="18">
        <v>1</v>
      </c>
      <c r="M328" s="19">
        <v>3</v>
      </c>
      <c r="N328" s="18">
        <v>3</v>
      </c>
      <c r="T328" s="4"/>
      <c r="U328" s="4"/>
      <c r="V328" s="4"/>
      <c r="W328" s="4"/>
      <c r="X328" s="4"/>
      <c r="Y328" s="4"/>
      <c r="Z328" s="4"/>
      <c r="AA328" s="4"/>
      <c r="AD328" s="20" t="str">
        <f>IF((B328="")+(B328="Vacante")+(D328=""),"",IFERROR(MATCH(D328,{"Oficinas";"Locales";"Estacionamientos";"Bodegas"},0),5)&amp;"|"&amp;B328&amp;"|"&amp;TEXT(G328,"yyyymmdd")&amp;"|"&amp;TEXT(H328,"yyyymmdd"))</f>
        <v>3|STELLANTIS|-|20300214</v>
      </c>
      <c r="AE328" s="4"/>
      <c r="AF328" s="4"/>
    </row>
    <row r="329" spans="1:32" x14ac:dyDescent="0.2">
      <c r="A329" s="5">
        <v>-7</v>
      </c>
      <c r="B329" s="6" t="s">
        <v>25</v>
      </c>
      <c r="C329" s="6" t="s">
        <v>25</v>
      </c>
      <c r="D329" s="6" t="s">
        <v>10</v>
      </c>
      <c r="E329" s="5">
        <v>7035</v>
      </c>
      <c r="G329" s="9" t="s">
        <v>9</v>
      </c>
      <c r="H329" s="9">
        <v>47657</v>
      </c>
      <c r="I329" s="6" t="s">
        <v>2</v>
      </c>
      <c r="L329" s="18">
        <v>1</v>
      </c>
      <c r="M329" s="19">
        <v>4</v>
      </c>
      <c r="N329" s="18">
        <v>4</v>
      </c>
      <c r="T329" s="4"/>
      <c r="U329" s="4"/>
      <c r="V329" s="4"/>
      <c r="W329" s="4"/>
      <c r="X329" s="4"/>
      <c r="Y329" s="4"/>
      <c r="Z329" s="4"/>
      <c r="AA329" s="4"/>
      <c r="AD329" s="20" t="str">
        <f>IF((B329="")+(B329="Vacante")+(D329=""),"",IFERROR(MATCH(D329,{"Oficinas";"Locales";"Estacionamientos";"Bodegas"},0),5)&amp;"|"&amp;B329&amp;"|"&amp;TEXT(G329,"yyyymmdd")&amp;"|"&amp;TEXT(H329,"yyyymmdd"))</f>
        <v>3|SYMNETICS S.A.|-|20300623</v>
      </c>
      <c r="AE329" s="4"/>
      <c r="AF329" s="4"/>
    </row>
    <row r="330" spans="1:32" x14ac:dyDescent="0.2">
      <c r="A330" s="5">
        <v>-7</v>
      </c>
      <c r="B330" s="6" t="s">
        <v>25</v>
      </c>
      <c r="C330" s="6" t="s">
        <v>25</v>
      </c>
      <c r="D330" s="6" t="s">
        <v>10</v>
      </c>
      <c r="E330" s="5">
        <v>7036</v>
      </c>
      <c r="G330" s="9" t="s">
        <v>9</v>
      </c>
      <c r="H330" s="9">
        <v>47657</v>
      </c>
      <c r="I330" s="6" t="s">
        <v>2</v>
      </c>
      <c r="L330" s="18">
        <v>1</v>
      </c>
      <c r="M330" s="19">
        <v>4</v>
      </c>
      <c r="N330" s="18">
        <v>4</v>
      </c>
      <c r="T330" s="4"/>
      <c r="U330" s="4"/>
      <c r="V330" s="4"/>
      <c r="W330" s="4"/>
      <c r="X330" s="4"/>
      <c r="Y330" s="4"/>
      <c r="Z330" s="4"/>
      <c r="AA330" s="4"/>
      <c r="AD330" s="20" t="str">
        <f>IF((B330="")+(B330="Vacante")+(D330=""),"",IFERROR(MATCH(D330,{"Oficinas";"Locales";"Estacionamientos";"Bodegas"},0),5)&amp;"|"&amp;B330&amp;"|"&amp;TEXT(G330,"yyyymmdd")&amp;"|"&amp;TEXT(H330,"yyyymmdd"))</f>
        <v>3|SYMNETICS S.A.|-|20300623</v>
      </c>
      <c r="AE330" s="4"/>
      <c r="AF330" s="4"/>
    </row>
    <row r="331" spans="1:32" x14ac:dyDescent="0.2">
      <c r="A331" s="5">
        <v>-7</v>
      </c>
      <c r="B331" s="6" t="s">
        <v>25</v>
      </c>
      <c r="C331" s="6" t="s">
        <v>25</v>
      </c>
      <c r="D331" s="6" t="s">
        <v>10</v>
      </c>
      <c r="E331" s="5">
        <v>7037</v>
      </c>
      <c r="G331" s="9" t="s">
        <v>9</v>
      </c>
      <c r="H331" s="9">
        <v>47657</v>
      </c>
      <c r="I331" s="6" t="s">
        <v>2</v>
      </c>
      <c r="L331" s="18">
        <v>1</v>
      </c>
      <c r="M331" s="19">
        <v>4</v>
      </c>
      <c r="N331" s="18">
        <v>4</v>
      </c>
      <c r="T331" s="4"/>
      <c r="U331" s="4"/>
      <c r="V331" s="4"/>
      <c r="W331" s="4"/>
      <c r="X331" s="4"/>
      <c r="Y331" s="4"/>
      <c r="Z331" s="4"/>
      <c r="AA331" s="4"/>
      <c r="AD331" s="20" t="str">
        <f>IF((B331="")+(B331="Vacante")+(D331=""),"",IFERROR(MATCH(D331,{"Oficinas";"Locales";"Estacionamientos";"Bodegas"},0),5)&amp;"|"&amp;B331&amp;"|"&amp;TEXT(G331,"yyyymmdd")&amp;"|"&amp;TEXT(H331,"yyyymmdd"))</f>
        <v>3|SYMNETICS S.A.|-|20300623</v>
      </c>
      <c r="AE331" s="4"/>
      <c r="AF331" s="4"/>
    </row>
    <row r="332" spans="1:32" x14ac:dyDescent="0.2">
      <c r="A332" s="5">
        <v>-7</v>
      </c>
      <c r="B332" s="6" t="s">
        <v>25</v>
      </c>
      <c r="C332" s="6" t="s">
        <v>25</v>
      </c>
      <c r="D332" s="6" t="s">
        <v>10</v>
      </c>
      <c r="E332" s="5">
        <v>7038</v>
      </c>
      <c r="G332" s="9" t="s">
        <v>9</v>
      </c>
      <c r="H332" s="9">
        <v>47657</v>
      </c>
      <c r="I332" s="6" t="s">
        <v>2</v>
      </c>
      <c r="L332" s="18">
        <v>1</v>
      </c>
      <c r="M332" s="19">
        <v>4</v>
      </c>
      <c r="N332" s="18">
        <v>4</v>
      </c>
      <c r="T332" s="4"/>
      <c r="U332" s="4"/>
      <c r="V332" s="4"/>
      <c r="W332" s="4"/>
      <c r="X332" s="4"/>
      <c r="Y332" s="4"/>
      <c r="Z332" s="4"/>
      <c r="AA332" s="4"/>
      <c r="AD332" s="20" t="str">
        <f>IF((B332="")+(B332="Vacante")+(D332=""),"",IFERROR(MATCH(D332,{"Oficinas";"Locales";"Estacionamientos";"Bodegas"},0),5)&amp;"|"&amp;B332&amp;"|"&amp;TEXT(G332,"yyyymmdd")&amp;"|"&amp;TEXT(H332,"yyyymmdd"))</f>
        <v>3|SYMNETICS S.A.|-|20300623</v>
      </c>
      <c r="AE332" s="4"/>
      <c r="AF332" s="4"/>
    </row>
    <row r="333" spans="1:32" x14ac:dyDescent="0.2">
      <c r="A333" s="5">
        <v>-7</v>
      </c>
      <c r="B333" s="6" t="s">
        <v>25</v>
      </c>
      <c r="C333" s="6" t="s">
        <v>25</v>
      </c>
      <c r="D333" s="6" t="s">
        <v>10</v>
      </c>
      <c r="E333" s="5">
        <v>7039</v>
      </c>
      <c r="G333" s="9" t="s">
        <v>9</v>
      </c>
      <c r="H333" s="9">
        <v>47657</v>
      </c>
      <c r="I333" s="6" t="s">
        <v>2</v>
      </c>
      <c r="L333" s="18">
        <v>1</v>
      </c>
      <c r="M333" s="19">
        <v>4</v>
      </c>
      <c r="N333" s="18">
        <v>4</v>
      </c>
      <c r="T333" s="4"/>
      <c r="U333" s="4"/>
      <c r="V333" s="4"/>
      <c r="W333" s="4"/>
      <c r="X333" s="4"/>
      <c r="Y333" s="4"/>
      <c r="Z333" s="4"/>
      <c r="AA333" s="4"/>
      <c r="AD333" s="20" t="str">
        <f>IF((B333="")+(B333="Vacante")+(D333=""),"",IFERROR(MATCH(D333,{"Oficinas";"Locales";"Estacionamientos";"Bodegas"},0),5)&amp;"|"&amp;B333&amp;"|"&amp;TEXT(G333,"yyyymmdd")&amp;"|"&amp;TEXT(H333,"yyyymmdd"))</f>
        <v>3|SYMNETICS S.A.|-|20300623</v>
      </c>
      <c r="AE333" s="4"/>
      <c r="AF333" s="4"/>
    </row>
    <row r="334" spans="1:32" x14ac:dyDescent="0.2">
      <c r="A334" s="5">
        <v>-7</v>
      </c>
      <c r="B334" s="6" t="s">
        <v>25</v>
      </c>
      <c r="C334" s="6" t="s">
        <v>25</v>
      </c>
      <c r="D334" s="6" t="s">
        <v>10</v>
      </c>
      <c r="E334" s="5">
        <v>7040</v>
      </c>
      <c r="G334" s="9" t="s">
        <v>9</v>
      </c>
      <c r="H334" s="9">
        <v>47657</v>
      </c>
      <c r="I334" s="6" t="s">
        <v>2</v>
      </c>
      <c r="L334" s="18">
        <v>1</v>
      </c>
      <c r="M334" s="19">
        <v>4</v>
      </c>
      <c r="N334" s="18">
        <v>4</v>
      </c>
      <c r="T334" s="4"/>
      <c r="U334" s="4"/>
      <c r="V334" s="4"/>
      <c r="W334" s="4"/>
      <c r="X334" s="4"/>
      <c r="Y334" s="4"/>
      <c r="Z334" s="4"/>
      <c r="AA334" s="4"/>
      <c r="AD334" s="20" t="str">
        <f>IF((B334="")+(B334="Vacante")+(D334=""),"",IFERROR(MATCH(D334,{"Oficinas";"Locales";"Estacionamientos";"Bodegas"},0),5)&amp;"|"&amp;B334&amp;"|"&amp;TEXT(G334,"yyyymmdd")&amp;"|"&amp;TEXT(H334,"yyyymmdd"))</f>
        <v>3|SYMNETICS S.A.|-|20300623</v>
      </c>
      <c r="AE334" s="4"/>
      <c r="AF334" s="4"/>
    </row>
    <row r="335" spans="1:32" x14ac:dyDescent="0.2">
      <c r="A335" s="5">
        <v>-7</v>
      </c>
      <c r="B335" s="6" t="s">
        <v>193</v>
      </c>
      <c r="C335" s="6" t="s">
        <v>24</v>
      </c>
      <c r="D335" s="6" t="s">
        <v>10</v>
      </c>
      <c r="E335" s="5">
        <v>7041</v>
      </c>
      <c r="G335" s="9" t="s">
        <v>9</v>
      </c>
      <c r="H335" s="9">
        <v>47528</v>
      </c>
      <c r="I335" s="6" t="s">
        <v>2</v>
      </c>
      <c r="L335" s="18">
        <v>1</v>
      </c>
      <c r="M335" s="19">
        <v>3</v>
      </c>
      <c r="N335" s="18">
        <v>3</v>
      </c>
      <c r="T335" s="4"/>
      <c r="U335" s="4"/>
      <c r="V335" s="4"/>
      <c r="W335" s="4"/>
      <c r="X335" s="4"/>
      <c r="Y335" s="4"/>
      <c r="Z335" s="4"/>
      <c r="AA335" s="4"/>
      <c r="AD335" s="20" t="str">
        <f>IF((B335="")+(B335="Vacante")+(D335=""),"",IFERROR(MATCH(D335,{"Oficinas";"Locales";"Estacionamientos";"Bodegas"},0),5)&amp;"|"&amp;B335&amp;"|"&amp;TEXT(G335,"yyyymmdd")&amp;"|"&amp;TEXT(H335,"yyyymmdd"))</f>
        <v>3|STELLANTIS|-|20300214</v>
      </c>
      <c r="AE335" s="4"/>
      <c r="AF335" s="4"/>
    </row>
    <row r="336" spans="1:32" x14ac:dyDescent="0.2">
      <c r="A336" s="5">
        <v>-7</v>
      </c>
      <c r="B336" s="6" t="s">
        <v>193</v>
      </c>
      <c r="C336" s="6" t="s">
        <v>24</v>
      </c>
      <c r="D336" s="6" t="s">
        <v>10</v>
      </c>
      <c r="E336" s="5">
        <v>7042</v>
      </c>
      <c r="G336" s="9" t="s">
        <v>9</v>
      </c>
      <c r="H336" s="9">
        <v>47528</v>
      </c>
      <c r="I336" s="6" t="s">
        <v>2</v>
      </c>
      <c r="L336" s="18">
        <v>1</v>
      </c>
      <c r="M336" s="19">
        <v>3</v>
      </c>
      <c r="N336" s="18">
        <v>3</v>
      </c>
      <c r="T336" s="4"/>
      <c r="U336" s="4"/>
      <c r="V336" s="4"/>
      <c r="W336" s="4"/>
      <c r="X336" s="4"/>
      <c r="Y336" s="4"/>
      <c r="Z336" s="4"/>
      <c r="AA336" s="4"/>
      <c r="AD336" s="20" t="str">
        <f>IF((B336="")+(B336="Vacante")+(D336=""),"",IFERROR(MATCH(D336,{"Oficinas";"Locales";"Estacionamientos";"Bodegas"},0),5)&amp;"|"&amp;B336&amp;"|"&amp;TEXT(G336,"yyyymmdd")&amp;"|"&amp;TEXT(H336,"yyyymmdd"))</f>
        <v>3|STELLANTIS|-|20300214</v>
      </c>
      <c r="AE336" s="4"/>
      <c r="AF336" s="4"/>
    </row>
    <row r="337" spans="1:32" x14ac:dyDescent="0.2">
      <c r="A337" s="5">
        <v>-7</v>
      </c>
      <c r="B337" s="6" t="s">
        <v>193</v>
      </c>
      <c r="C337" s="6" t="s">
        <v>24</v>
      </c>
      <c r="D337" s="6" t="s">
        <v>10</v>
      </c>
      <c r="E337" s="5">
        <v>7043</v>
      </c>
      <c r="G337" s="9" t="s">
        <v>9</v>
      </c>
      <c r="H337" s="9">
        <v>47528</v>
      </c>
      <c r="I337" s="6" t="s">
        <v>2</v>
      </c>
      <c r="L337" s="18">
        <v>1</v>
      </c>
      <c r="M337" s="19">
        <v>3</v>
      </c>
      <c r="N337" s="18">
        <v>3</v>
      </c>
      <c r="T337" s="4"/>
      <c r="U337" s="4"/>
      <c r="V337" s="4"/>
      <c r="W337" s="4"/>
      <c r="X337" s="4"/>
      <c r="Y337" s="4"/>
      <c r="Z337" s="4"/>
      <c r="AA337" s="4"/>
      <c r="AD337" s="20" t="str">
        <f>IF((B337="")+(B337="Vacante")+(D337=""),"",IFERROR(MATCH(D337,{"Oficinas";"Locales";"Estacionamientos";"Bodegas"},0),5)&amp;"|"&amp;B337&amp;"|"&amp;TEXT(G337,"yyyymmdd")&amp;"|"&amp;TEXT(H337,"yyyymmdd"))</f>
        <v>3|STELLANTIS|-|20300214</v>
      </c>
      <c r="AE337" s="4"/>
      <c r="AF337" s="4"/>
    </row>
    <row r="338" spans="1:32" x14ac:dyDescent="0.2">
      <c r="A338" s="5">
        <v>-7</v>
      </c>
      <c r="B338" s="6" t="s">
        <v>193</v>
      </c>
      <c r="C338" s="6" t="s">
        <v>24</v>
      </c>
      <c r="D338" s="6" t="s">
        <v>10</v>
      </c>
      <c r="E338" s="5">
        <v>7044</v>
      </c>
      <c r="G338" s="9" t="s">
        <v>9</v>
      </c>
      <c r="H338" s="9">
        <v>47528</v>
      </c>
      <c r="I338" s="6" t="s">
        <v>2</v>
      </c>
      <c r="L338" s="18">
        <v>1</v>
      </c>
      <c r="M338" s="19">
        <v>3</v>
      </c>
      <c r="N338" s="18">
        <v>3</v>
      </c>
      <c r="T338" s="4"/>
      <c r="U338" s="4"/>
      <c r="V338" s="4"/>
      <c r="W338" s="4"/>
      <c r="X338" s="4"/>
      <c r="Y338" s="4"/>
      <c r="Z338" s="4"/>
      <c r="AA338" s="4"/>
      <c r="AD338" s="20" t="str">
        <f>IF((B338="")+(B338="Vacante")+(D338=""),"",IFERROR(MATCH(D338,{"Oficinas";"Locales";"Estacionamientos";"Bodegas"},0),5)&amp;"|"&amp;B338&amp;"|"&amp;TEXT(G338,"yyyymmdd")&amp;"|"&amp;TEXT(H338,"yyyymmdd"))</f>
        <v>3|STELLANTIS|-|20300214</v>
      </c>
      <c r="AE338" s="4"/>
      <c r="AF338" s="4"/>
    </row>
    <row r="339" spans="1:32" x14ac:dyDescent="0.2">
      <c r="A339" s="5">
        <v>-7</v>
      </c>
      <c r="B339" s="6" t="s">
        <v>193</v>
      </c>
      <c r="C339" s="6" t="s">
        <v>24</v>
      </c>
      <c r="D339" s="6" t="s">
        <v>10</v>
      </c>
      <c r="E339" s="5">
        <v>7045</v>
      </c>
      <c r="G339" s="9" t="s">
        <v>9</v>
      </c>
      <c r="H339" s="9">
        <v>47528</v>
      </c>
      <c r="I339" s="6" t="s">
        <v>2</v>
      </c>
      <c r="L339" s="18">
        <v>1</v>
      </c>
      <c r="M339" s="19">
        <v>3</v>
      </c>
      <c r="N339" s="18">
        <v>3</v>
      </c>
      <c r="T339" s="4"/>
      <c r="U339" s="4"/>
      <c r="V339" s="4"/>
      <c r="W339" s="4"/>
      <c r="X339" s="4"/>
      <c r="Y339" s="4"/>
      <c r="Z339" s="4"/>
      <c r="AA339" s="4"/>
      <c r="AD339" s="20" t="str">
        <f>IF((B339="")+(B339="Vacante")+(D339=""),"",IFERROR(MATCH(D339,{"Oficinas";"Locales";"Estacionamientos";"Bodegas"},0),5)&amp;"|"&amp;B339&amp;"|"&amp;TEXT(G339,"yyyymmdd")&amp;"|"&amp;TEXT(H339,"yyyymmdd"))</f>
        <v>3|STELLANTIS|-|20300214</v>
      </c>
      <c r="AE339" s="4"/>
      <c r="AF339" s="4"/>
    </row>
    <row r="340" spans="1:32" x14ac:dyDescent="0.2">
      <c r="A340" s="5">
        <v>-7</v>
      </c>
      <c r="B340" s="6" t="s">
        <v>196</v>
      </c>
      <c r="C340" s="6" t="s">
        <v>57</v>
      </c>
      <c r="D340" s="6" t="s">
        <v>10</v>
      </c>
      <c r="E340" s="5">
        <v>7046</v>
      </c>
      <c r="G340" s="9" t="s">
        <v>9</v>
      </c>
      <c r="H340" s="9">
        <v>47634</v>
      </c>
      <c r="I340" s="6" t="s">
        <v>2</v>
      </c>
      <c r="L340" s="18">
        <v>1</v>
      </c>
      <c r="M340" s="19">
        <v>0</v>
      </c>
      <c r="N340" s="18">
        <v>0</v>
      </c>
      <c r="T340" s="4"/>
      <c r="U340" s="4"/>
      <c r="V340" s="4"/>
      <c r="W340" s="4"/>
      <c r="X340" s="4"/>
      <c r="Y340" s="4"/>
      <c r="Z340" s="4"/>
      <c r="AA340" s="4"/>
      <c r="AD340" s="20" t="str">
        <f>IF((B340="")+(B340="Vacante")+(D340=""),"",IFERROR(MATCH(D340,{"Oficinas";"Locales";"Estacionamientos";"Bodegas"},0),5)&amp;"|"&amp;B340&amp;"|"&amp;TEXT(G340,"yyyymmdd")&amp;"|"&amp;TEXT(H340,"yyyymmdd"))</f>
        <v>3|EAGLE CLUB|-|20300531</v>
      </c>
      <c r="AE340" s="4"/>
      <c r="AF340" s="4"/>
    </row>
    <row r="341" spans="1:32" x14ac:dyDescent="0.2">
      <c r="A341" s="5">
        <v>-7</v>
      </c>
      <c r="B341" s="6" t="s">
        <v>206</v>
      </c>
      <c r="C341" s="6" t="s">
        <v>71</v>
      </c>
      <c r="D341" s="6" t="s">
        <v>10</v>
      </c>
      <c r="E341" s="5">
        <v>7047</v>
      </c>
      <c r="G341" s="9">
        <v>45716</v>
      </c>
      <c r="H341" s="9">
        <v>46446</v>
      </c>
      <c r="I341" s="6" t="s">
        <v>2</v>
      </c>
      <c r="L341" s="18">
        <v>1</v>
      </c>
      <c r="M341" s="19">
        <v>4</v>
      </c>
      <c r="N341" s="18">
        <v>4</v>
      </c>
      <c r="T341" s="4"/>
      <c r="U341" s="4"/>
      <c r="V341" s="4"/>
      <c r="W341" s="4"/>
      <c r="X341" s="4"/>
      <c r="Y341" s="4"/>
      <c r="Z341" s="4"/>
      <c r="AA341" s="4"/>
      <c r="AD341" s="20" t="str">
        <f>IF((B341="")+(B341="Vacante")+(D341=""),"",IFERROR(MATCH(D341,{"Oficinas";"Locales";"Estacionamientos";"Bodegas"},0),5)&amp;"|"&amp;B341&amp;"|"&amp;TEXT(G341,"yyyymmdd")&amp;"|"&amp;TEXT(H341,"yyyymmdd"))</f>
        <v>3|TATTERSAL|20250228|20270228</v>
      </c>
      <c r="AE341" s="4"/>
      <c r="AF341" s="4"/>
    </row>
    <row r="342" spans="1:32" x14ac:dyDescent="0.2">
      <c r="A342" s="5">
        <v>-7</v>
      </c>
      <c r="B342" s="6" t="s">
        <v>206</v>
      </c>
      <c r="C342" s="6" t="s">
        <v>71</v>
      </c>
      <c r="D342" s="6" t="s">
        <v>10</v>
      </c>
      <c r="E342" s="5">
        <v>7048</v>
      </c>
      <c r="G342" s="9">
        <v>45716</v>
      </c>
      <c r="H342" s="9">
        <v>46446</v>
      </c>
      <c r="I342" s="6" t="s">
        <v>2</v>
      </c>
      <c r="L342" s="18">
        <v>1</v>
      </c>
      <c r="M342" s="19">
        <v>4</v>
      </c>
      <c r="N342" s="18">
        <v>4</v>
      </c>
      <c r="T342" s="4"/>
      <c r="U342" s="4"/>
      <c r="V342" s="4"/>
      <c r="W342" s="4"/>
      <c r="X342" s="4"/>
      <c r="Y342" s="4"/>
      <c r="Z342" s="4"/>
      <c r="AA342" s="4"/>
      <c r="AD342" s="20" t="str">
        <f>IF((B342="")+(B342="Vacante")+(D342=""),"",IFERROR(MATCH(D342,{"Oficinas";"Locales";"Estacionamientos";"Bodegas"},0),5)&amp;"|"&amp;B342&amp;"|"&amp;TEXT(G342,"yyyymmdd")&amp;"|"&amp;TEXT(H342,"yyyymmdd"))</f>
        <v>3|TATTERSAL|20250228|20270228</v>
      </c>
      <c r="AE342" s="4"/>
      <c r="AF342" s="4"/>
    </row>
    <row r="343" spans="1:32" x14ac:dyDescent="0.2">
      <c r="A343" s="5">
        <v>-7</v>
      </c>
      <c r="B343" s="6" t="s">
        <v>206</v>
      </c>
      <c r="C343" s="6" t="s">
        <v>71</v>
      </c>
      <c r="D343" s="6" t="s">
        <v>10</v>
      </c>
      <c r="E343" s="5">
        <v>7049</v>
      </c>
      <c r="G343" s="9">
        <v>45716</v>
      </c>
      <c r="H343" s="9">
        <v>46446</v>
      </c>
      <c r="I343" s="6" t="s">
        <v>2</v>
      </c>
      <c r="L343" s="18">
        <v>1</v>
      </c>
      <c r="M343" s="19">
        <v>4</v>
      </c>
      <c r="N343" s="18">
        <v>4</v>
      </c>
      <c r="T343" s="4"/>
      <c r="U343" s="4"/>
      <c r="V343" s="4"/>
      <c r="W343" s="4"/>
      <c r="X343" s="4"/>
      <c r="Y343" s="4"/>
      <c r="Z343" s="4"/>
      <c r="AA343" s="4"/>
      <c r="AD343" s="20" t="str">
        <f>IF((B343="")+(B343="Vacante")+(D343=""),"",IFERROR(MATCH(D343,{"Oficinas";"Locales";"Estacionamientos";"Bodegas"},0),5)&amp;"|"&amp;B343&amp;"|"&amp;TEXT(G343,"yyyymmdd")&amp;"|"&amp;TEXT(H343,"yyyymmdd"))</f>
        <v>3|TATTERSAL|20250228|20270228</v>
      </c>
      <c r="AE343" s="4"/>
      <c r="AF343" s="4"/>
    </row>
    <row r="344" spans="1:32" x14ac:dyDescent="0.2">
      <c r="A344" s="5">
        <v>-7</v>
      </c>
      <c r="B344" s="6" t="s">
        <v>206</v>
      </c>
      <c r="C344" s="6" t="s">
        <v>71</v>
      </c>
      <c r="D344" s="6" t="s">
        <v>10</v>
      </c>
      <c r="E344" s="5">
        <v>7050</v>
      </c>
      <c r="G344" s="9">
        <v>45716</v>
      </c>
      <c r="H344" s="9">
        <v>46446</v>
      </c>
      <c r="I344" s="6" t="s">
        <v>2</v>
      </c>
      <c r="L344" s="18">
        <v>1</v>
      </c>
      <c r="M344" s="19">
        <v>4</v>
      </c>
      <c r="N344" s="18">
        <v>4</v>
      </c>
      <c r="T344" s="4"/>
      <c r="U344" s="4"/>
      <c r="V344" s="4"/>
      <c r="W344" s="4"/>
      <c r="X344" s="4"/>
      <c r="Y344" s="4"/>
      <c r="Z344" s="4"/>
      <c r="AA344" s="4"/>
      <c r="AD344" s="20" t="str">
        <f>IF((B344="")+(B344="Vacante")+(D344=""),"",IFERROR(MATCH(D344,{"Oficinas";"Locales";"Estacionamientos";"Bodegas"},0),5)&amp;"|"&amp;B344&amp;"|"&amp;TEXT(G344,"yyyymmdd")&amp;"|"&amp;TEXT(H344,"yyyymmdd"))</f>
        <v>3|TATTERSAL|20250228|20270228</v>
      </c>
      <c r="AE344" s="4"/>
      <c r="AF344" s="4"/>
    </row>
    <row r="345" spans="1:32" x14ac:dyDescent="0.2">
      <c r="A345" s="5">
        <v>-7</v>
      </c>
      <c r="B345" s="6" t="s">
        <v>196</v>
      </c>
      <c r="C345" s="6" t="s">
        <v>57</v>
      </c>
      <c r="D345" s="6" t="s">
        <v>10</v>
      </c>
      <c r="E345" s="5">
        <v>7051</v>
      </c>
      <c r="G345" s="9" t="s">
        <v>9</v>
      </c>
      <c r="H345" s="9">
        <v>47634</v>
      </c>
      <c r="I345" s="6" t="s">
        <v>2</v>
      </c>
      <c r="L345" s="18">
        <v>1</v>
      </c>
      <c r="M345" s="19">
        <v>0</v>
      </c>
      <c r="N345" s="18">
        <v>0</v>
      </c>
      <c r="T345" s="4"/>
      <c r="U345" s="4"/>
      <c r="V345" s="4"/>
      <c r="W345" s="4"/>
      <c r="X345" s="4"/>
      <c r="Y345" s="4"/>
      <c r="Z345" s="4"/>
      <c r="AA345" s="4"/>
      <c r="AD345" s="20" t="str">
        <f>IF((B345="")+(B345="Vacante")+(D345=""),"",IFERROR(MATCH(D345,{"Oficinas";"Locales";"Estacionamientos";"Bodegas"},0),5)&amp;"|"&amp;B345&amp;"|"&amp;TEXT(G345,"yyyymmdd")&amp;"|"&amp;TEXT(H345,"yyyymmdd"))</f>
        <v>3|EAGLE CLUB|-|20300531</v>
      </c>
      <c r="AE345" s="4"/>
      <c r="AF345" s="4"/>
    </row>
    <row r="346" spans="1:32" x14ac:dyDescent="0.2">
      <c r="A346" s="5">
        <v>-7</v>
      </c>
      <c r="B346" s="6" t="s">
        <v>193</v>
      </c>
      <c r="C346" s="6" t="s">
        <v>24</v>
      </c>
      <c r="D346" s="6" t="s">
        <v>10</v>
      </c>
      <c r="E346" s="5">
        <v>7052</v>
      </c>
      <c r="F346" s="6" t="s">
        <v>132</v>
      </c>
      <c r="G346" s="9" t="s">
        <v>9</v>
      </c>
      <c r="H346" s="9">
        <v>47528</v>
      </c>
      <c r="I346" s="6" t="s">
        <v>2</v>
      </c>
      <c r="L346" s="18">
        <v>1</v>
      </c>
      <c r="M346" s="19">
        <v>3</v>
      </c>
      <c r="N346" s="18">
        <v>3</v>
      </c>
      <c r="T346" s="4"/>
      <c r="U346" s="4"/>
      <c r="V346" s="4"/>
      <c r="W346" s="4"/>
      <c r="X346" s="4"/>
      <c r="Y346" s="4"/>
      <c r="Z346" s="4"/>
      <c r="AA346" s="4"/>
      <c r="AD346" s="20" t="str">
        <f>IF((B346="")+(B346="Vacante")+(D346=""),"",IFERROR(MATCH(D346,{"Oficinas";"Locales";"Estacionamientos";"Bodegas"},0),5)&amp;"|"&amp;B346&amp;"|"&amp;TEXT(G346,"yyyymmdd")&amp;"|"&amp;TEXT(H346,"yyyymmdd"))</f>
        <v>3|STELLANTIS|-|20300214</v>
      </c>
      <c r="AE346" s="4"/>
      <c r="AF346" s="4"/>
    </row>
    <row r="347" spans="1:32" x14ac:dyDescent="0.2">
      <c r="A347" s="5">
        <v>-7</v>
      </c>
      <c r="B347" s="6" t="s">
        <v>193</v>
      </c>
      <c r="C347" s="6" t="s">
        <v>24</v>
      </c>
      <c r="D347" s="6" t="s">
        <v>10</v>
      </c>
      <c r="E347" s="5">
        <v>7053</v>
      </c>
      <c r="F347" s="6" t="s">
        <v>133</v>
      </c>
      <c r="G347" s="9" t="s">
        <v>9</v>
      </c>
      <c r="H347" s="9">
        <v>47528</v>
      </c>
      <c r="I347" s="6" t="s">
        <v>2</v>
      </c>
      <c r="L347" s="18">
        <v>1</v>
      </c>
      <c r="M347" s="19">
        <v>3</v>
      </c>
      <c r="N347" s="18">
        <v>3</v>
      </c>
      <c r="T347" s="4"/>
      <c r="U347" s="4"/>
      <c r="V347" s="4"/>
      <c r="W347" s="4"/>
      <c r="X347" s="4"/>
      <c r="Y347" s="4"/>
      <c r="Z347" s="4"/>
      <c r="AA347" s="4"/>
      <c r="AD347" s="20" t="str">
        <f>IF((B347="")+(B347="Vacante")+(D347=""),"",IFERROR(MATCH(D347,{"Oficinas";"Locales";"Estacionamientos";"Bodegas"},0),5)&amp;"|"&amp;B347&amp;"|"&amp;TEXT(G347,"yyyymmdd")&amp;"|"&amp;TEXT(H347,"yyyymmdd"))</f>
        <v>3|STELLANTIS|-|20300214</v>
      </c>
      <c r="AE347" s="4"/>
      <c r="AF347" s="4"/>
    </row>
    <row r="348" spans="1:32" x14ac:dyDescent="0.2">
      <c r="A348" s="5">
        <v>-7</v>
      </c>
      <c r="B348" s="6" t="s">
        <v>193</v>
      </c>
      <c r="C348" s="6" t="s">
        <v>24</v>
      </c>
      <c r="D348" s="6" t="s">
        <v>10</v>
      </c>
      <c r="E348" s="5">
        <v>7054</v>
      </c>
      <c r="F348" s="6" t="s">
        <v>134</v>
      </c>
      <c r="G348" s="9" t="s">
        <v>9</v>
      </c>
      <c r="H348" s="9">
        <v>47528</v>
      </c>
      <c r="I348" s="6" t="s">
        <v>2</v>
      </c>
      <c r="L348" s="18">
        <v>1</v>
      </c>
      <c r="M348" s="19">
        <v>3</v>
      </c>
      <c r="N348" s="18">
        <v>3</v>
      </c>
      <c r="T348" s="4"/>
      <c r="U348" s="4"/>
      <c r="V348" s="4"/>
      <c r="W348" s="4"/>
      <c r="X348" s="4"/>
      <c r="Y348" s="4"/>
      <c r="Z348" s="4"/>
      <c r="AA348" s="4"/>
      <c r="AD348" s="20" t="str">
        <f>IF((B348="")+(B348="Vacante")+(D348=""),"",IFERROR(MATCH(D348,{"Oficinas";"Locales";"Estacionamientos";"Bodegas"},0),5)&amp;"|"&amp;B348&amp;"|"&amp;TEXT(G348,"yyyymmdd")&amp;"|"&amp;TEXT(H348,"yyyymmdd"))</f>
        <v>3|STELLANTIS|-|20300214</v>
      </c>
      <c r="AE348" s="4"/>
      <c r="AF348" s="4"/>
    </row>
    <row r="349" spans="1:32" x14ac:dyDescent="0.2">
      <c r="A349" s="5">
        <v>-7</v>
      </c>
      <c r="B349" s="6" t="s">
        <v>193</v>
      </c>
      <c r="C349" s="6" t="s">
        <v>24</v>
      </c>
      <c r="D349" s="6" t="s">
        <v>10</v>
      </c>
      <c r="E349" s="5">
        <v>7055</v>
      </c>
      <c r="G349" s="9" t="s">
        <v>9</v>
      </c>
      <c r="H349" s="9">
        <v>47528</v>
      </c>
      <c r="I349" s="6" t="s">
        <v>2</v>
      </c>
      <c r="L349" s="18">
        <v>1</v>
      </c>
      <c r="M349" s="19">
        <v>3</v>
      </c>
      <c r="N349" s="18">
        <v>3</v>
      </c>
      <c r="T349" s="4"/>
      <c r="U349" s="4"/>
      <c r="V349" s="4"/>
      <c r="W349" s="4"/>
      <c r="X349" s="4"/>
      <c r="Y349" s="4"/>
      <c r="Z349" s="4"/>
      <c r="AA349" s="4"/>
      <c r="AD349" s="20" t="str">
        <f>IF((B349="")+(B349="Vacante")+(D349=""),"",IFERROR(MATCH(D349,{"Oficinas";"Locales";"Estacionamientos";"Bodegas"},0),5)&amp;"|"&amp;B349&amp;"|"&amp;TEXT(G349,"yyyymmdd")&amp;"|"&amp;TEXT(H349,"yyyymmdd"))</f>
        <v>3|STELLANTIS|-|20300214</v>
      </c>
      <c r="AE349" s="4"/>
      <c r="AF349" s="4"/>
    </row>
    <row r="350" spans="1:32" x14ac:dyDescent="0.2">
      <c r="A350" s="5">
        <v>-7</v>
      </c>
      <c r="B350" s="6" t="s">
        <v>193</v>
      </c>
      <c r="C350" s="6" t="s">
        <v>24</v>
      </c>
      <c r="D350" s="6" t="s">
        <v>10</v>
      </c>
      <c r="E350" s="5">
        <v>7056</v>
      </c>
      <c r="F350" s="6" t="s">
        <v>135</v>
      </c>
      <c r="G350" s="9" t="s">
        <v>9</v>
      </c>
      <c r="H350" s="9">
        <v>47528</v>
      </c>
      <c r="I350" s="6" t="s">
        <v>2</v>
      </c>
      <c r="L350" s="18">
        <v>1</v>
      </c>
      <c r="M350" s="19">
        <v>3</v>
      </c>
      <c r="N350" s="18">
        <v>3</v>
      </c>
      <c r="T350" s="4"/>
      <c r="U350" s="4"/>
      <c r="V350" s="4"/>
      <c r="W350" s="4"/>
      <c r="X350" s="4"/>
      <c r="Y350" s="4"/>
      <c r="Z350" s="4"/>
      <c r="AA350" s="4"/>
      <c r="AD350" s="20" t="str">
        <f>IF((B350="")+(B350="Vacante")+(D350=""),"",IFERROR(MATCH(D350,{"Oficinas";"Locales";"Estacionamientos";"Bodegas"},0),5)&amp;"|"&amp;B350&amp;"|"&amp;TEXT(G350,"yyyymmdd")&amp;"|"&amp;TEXT(H350,"yyyymmdd"))</f>
        <v>3|STELLANTIS|-|20300214</v>
      </c>
      <c r="AE350" s="4"/>
      <c r="AF350" s="4"/>
    </row>
    <row r="351" spans="1:32" x14ac:dyDescent="0.2">
      <c r="A351" s="5">
        <v>-7</v>
      </c>
      <c r="B351" s="6" t="s">
        <v>183</v>
      </c>
      <c r="C351" s="6" t="s">
        <v>42</v>
      </c>
      <c r="D351" s="6" t="s">
        <v>10</v>
      </c>
      <c r="E351" s="5">
        <v>7057</v>
      </c>
      <c r="F351" s="6" t="s">
        <v>136</v>
      </c>
      <c r="G351" s="9" t="s">
        <v>9</v>
      </c>
      <c r="H351" s="9">
        <v>47087</v>
      </c>
      <c r="I351" s="6" t="s">
        <v>2</v>
      </c>
      <c r="L351" s="18">
        <v>1</v>
      </c>
      <c r="M351" s="19">
        <v>4.3</v>
      </c>
      <c r="N351" s="18">
        <v>4.3</v>
      </c>
      <c r="T351" s="4"/>
      <c r="U351" s="4"/>
      <c r="V351" s="4"/>
      <c r="W351" s="4"/>
      <c r="X351" s="4"/>
      <c r="Y351" s="4"/>
      <c r="Z351" s="4"/>
      <c r="AA351" s="4"/>
      <c r="AD351" s="20" t="str">
        <f>IF((B351="")+(B351="Vacante")+(D351=""),"",IFERROR(MATCH(D351,{"Oficinas";"Locales";"Estacionamientos";"Bodegas"},0),5)&amp;"|"&amp;B351&amp;"|"&amp;TEXT(G351,"yyyymmdd")&amp;"|"&amp;TEXT(H351,"yyyymmdd"))</f>
        <v>3|RED ELECTRICA |-|20281130</v>
      </c>
      <c r="AE351" s="4"/>
      <c r="AF351" s="4"/>
    </row>
    <row r="352" spans="1:32" x14ac:dyDescent="0.2">
      <c r="A352" s="5">
        <v>-7</v>
      </c>
      <c r="B352" s="6" t="s">
        <v>183</v>
      </c>
      <c r="C352" s="6" t="s">
        <v>42</v>
      </c>
      <c r="D352" s="6" t="s">
        <v>10</v>
      </c>
      <c r="E352" s="5">
        <v>7058</v>
      </c>
      <c r="F352" s="6" t="s">
        <v>137</v>
      </c>
      <c r="G352" s="9" t="s">
        <v>9</v>
      </c>
      <c r="H352" s="9">
        <v>47087</v>
      </c>
      <c r="I352" s="6" t="s">
        <v>2</v>
      </c>
      <c r="L352" s="18">
        <v>1</v>
      </c>
      <c r="M352" s="19">
        <v>4.3</v>
      </c>
      <c r="N352" s="18">
        <v>4.3</v>
      </c>
      <c r="T352" s="4"/>
      <c r="U352" s="4"/>
      <c r="V352" s="4"/>
      <c r="W352" s="4"/>
      <c r="X352" s="4"/>
      <c r="Y352" s="4"/>
      <c r="Z352" s="4"/>
      <c r="AA352" s="4"/>
      <c r="AD352" s="20" t="str">
        <f>IF((B352="")+(B352="Vacante")+(D352=""),"",IFERROR(MATCH(D352,{"Oficinas";"Locales";"Estacionamientos";"Bodegas"},0),5)&amp;"|"&amp;B352&amp;"|"&amp;TEXT(G352,"yyyymmdd")&amp;"|"&amp;TEXT(H352,"yyyymmdd"))</f>
        <v>3|RED ELECTRICA |-|20281130</v>
      </c>
      <c r="AE352" s="4"/>
      <c r="AF352" s="4"/>
    </row>
    <row r="353" spans="1:32" x14ac:dyDescent="0.2">
      <c r="A353" s="5">
        <v>-7</v>
      </c>
      <c r="B353" s="6" t="s">
        <v>189</v>
      </c>
      <c r="C353" s="6" t="s">
        <v>32</v>
      </c>
      <c r="D353" s="6" t="s">
        <v>10</v>
      </c>
      <c r="E353" s="5">
        <v>7059</v>
      </c>
      <c r="F353" s="6" t="s">
        <v>138</v>
      </c>
      <c r="G353" s="9" t="s">
        <v>9</v>
      </c>
      <c r="H353" s="9">
        <v>46387</v>
      </c>
      <c r="I353" s="6" t="s">
        <v>2</v>
      </c>
      <c r="L353" s="18">
        <v>1</v>
      </c>
      <c r="M353" s="19">
        <v>4</v>
      </c>
      <c r="N353" s="18">
        <v>4</v>
      </c>
      <c r="T353" s="4"/>
      <c r="U353" s="4"/>
      <c r="V353" s="4"/>
      <c r="W353" s="4"/>
      <c r="X353" s="4"/>
      <c r="Y353" s="4"/>
      <c r="Z353" s="4"/>
      <c r="AA353" s="4"/>
      <c r="AD353" s="20" t="str">
        <f>IF((B353="")+(B353="Vacante")+(D353=""),"",IFERROR(MATCH(D353,{"Oficinas";"Locales";"Estacionamientos";"Bodegas"},0),5)&amp;"|"&amp;B353&amp;"|"&amp;TEXT(G353,"yyyymmdd")&amp;"|"&amp;TEXT(H353,"yyyymmdd"))</f>
        <v>3|SUMITOMO|-|20261231</v>
      </c>
      <c r="AE353" s="4"/>
      <c r="AF353" s="4"/>
    </row>
    <row r="354" spans="1:32" x14ac:dyDescent="0.2">
      <c r="A354" s="5">
        <v>-7</v>
      </c>
      <c r="B354" s="6" t="s">
        <v>197</v>
      </c>
      <c r="C354" s="6" t="s">
        <v>59</v>
      </c>
      <c r="D354" s="6" t="s">
        <v>10</v>
      </c>
      <c r="E354" s="5">
        <v>7060</v>
      </c>
      <c r="G354" s="9">
        <v>47292</v>
      </c>
      <c r="H354" s="9">
        <v>48021</v>
      </c>
      <c r="I354" s="6" t="s">
        <v>2</v>
      </c>
      <c r="L354" s="18">
        <v>1</v>
      </c>
      <c r="M354" s="19">
        <v>0</v>
      </c>
      <c r="N354" s="18">
        <v>0</v>
      </c>
      <c r="T354" s="4"/>
      <c r="U354" s="4"/>
      <c r="V354" s="4"/>
      <c r="W354" s="4"/>
      <c r="X354" s="4"/>
      <c r="Y354" s="4"/>
      <c r="Z354" s="4"/>
      <c r="AA354" s="4"/>
      <c r="AD354" s="20" t="str">
        <f>IF((B354="")+(B354="Vacante")+(D354=""),"",IFERROR(MATCH(D354,{"Oficinas";"Locales";"Estacionamientos";"Bodegas"},0),5)&amp;"|"&amp;B354&amp;"|"&amp;TEXT(G354,"yyyymmdd")&amp;"|"&amp;TEXT(H354,"yyyymmdd"))</f>
        <v>3|TURKISH AIRLINES|20290623|20310622</v>
      </c>
      <c r="AE354" s="4"/>
      <c r="AF354" s="4"/>
    </row>
    <row r="355" spans="1:32" x14ac:dyDescent="0.2">
      <c r="A355" s="5">
        <v>-7</v>
      </c>
      <c r="B355" s="6" t="s">
        <v>197</v>
      </c>
      <c r="C355" s="6" t="s">
        <v>59</v>
      </c>
      <c r="D355" s="6" t="s">
        <v>10</v>
      </c>
      <c r="E355" s="5">
        <v>7061</v>
      </c>
      <c r="G355" s="9">
        <v>47292</v>
      </c>
      <c r="H355" s="9">
        <v>48021</v>
      </c>
      <c r="I355" s="6" t="s">
        <v>2</v>
      </c>
      <c r="L355" s="18">
        <v>1</v>
      </c>
      <c r="M355" s="19">
        <v>0</v>
      </c>
      <c r="N355" s="18">
        <v>0</v>
      </c>
      <c r="T355" s="4"/>
      <c r="U355" s="4"/>
      <c r="V355" s="4"/>
      <c r="W355" s="4"/>
      <c r="X355" s="4"/>
      <c r="Y355" s="4"/>
      <c r="Z355" s="4"/>
      <c r="AA355" s="4"/>
      <c r="AD355" s="20" t="str">
        <f>IF((B355="")+(B355="Vacante")+(D355=""),"",IFERROR(MATCH(D355,{"Oficinas";"Locales";"Estacionamientos";"Bodegas"},0),5)&amp;"|"&amp;B355&amp;"|"&amp;TEXT(G355,"yyyymmdd")&amp;"|"&amp;TEXT(H355,"yyyymmdd"))</f>
        <v>3|TURKISH AIRLINES|20290623|20310622</v>
      </c>
      <c r="AE355" s="4"/>
      <c r="AF355" s="4"/>
    </row>
    <row r="356" spans="1:32" x14ac:dyDescent="0.2">
      <c r="A356" s="5">
        <v>-7</v>
      </c>
      <c r="B356" s="6" t="s">
        <v>193</v>
      </c>
      <c r="C356" s="6" t="s">
        <v>24</v>
      </c>
      <c r="D356" s="6" t="s">
        <v>10</v>
      </c>
      <c r="E356" s="5">
        <v>7062</v>
      </c>
      <c r="G356" s="9" t="s">
        <v>9</v>
      </c>
      <c r="H356" s="9">
        <v>47528</v>
      </c>
      <c r="I356" s="6" t="s">
        <v>2</v>
      </c>
      <c r="L356" s="18">
        <v>1</v>
      </c>
      <c r="M356" s="19">
        <v>3</v>
      </c>
      <c r="N356" s="18">
        <v>3</v>
      </c>
      <c r="T356" s="4"/>
      <c r="U356" s="4"/>
      <c r="V356" s="4"/>
      <c r="W356" s="4"/>
      <c r="X356" s="4"/>
      <c r="Y356" s="4"/>
      <c r="Z356" s="4"/>
      <c r="AA356" s="4"/>
      <c r="AD356" s="20" t="str">
        <f>IF((B356="")+(B356="Vacante")+(D356=""),"",IFERROR(MATCH(D356,{"Oficinas";"Locales";"Estacionamientos";"Bodegas"},0),5)&amp;"|"&amp;B356&amp;"|"&amp;TEXT(G356,"yyyymmdd")&amp;"|"&amp;TEXT(H356,"yyyymmdd"))</f>
        <v>3|STELLANTIS|-|20300214</v>
      </c>
      <c r="AE356" s="4"/>
      <c r="AF356" s="4"/>
    </row>
    <row r="357" spans="1:32" x14ac:dyDescent="0.2">
      <c r="A357" s="5">
        <v>-7</v>
      </c>
      <c r="B357" s="6" t="s">
        <v>193</v>
      </c>
      <c r="C357" s="6" t="s">
        <v>24</v>
      </c>
      <c r="D357" s="6" t="s">
        <v>10</v>
      </c>
      <c r="E357" s="5">
        <v>7063</v>
      </c>
      <c r="G357" s="9" t="s">
        <v>9</v>
      </c>
      <c r="H357" s="9">
        <v>47528</v>
      </c>
      <c r="I357" s="6" t="s">
        <v>2</v>
      </c>
      <c r="L357" s="18">
        <v>1</v>
      </c>
      <c r="M357" s="19">
        <v>3</v>
      </c>
      <c r="N357" s="18">
        <v>3</v>
      </c>
      <c r="T357" s="4"/>
      <c r="U357" s="4"/>
      <c r="V357" s="4"/>
      <c r="W357" s="4"/>
      <c r="X357" s="4"/>
      <c r="Y357" s="4"/>
      <c r="Z357" s="4"/>
      <c r="AA357" s="4"/>
      <c r="AD357" s="20" t="str">
        <f>IF((B357="")+(B357="Vacante")+(D357=""),"",IFERROR(MATCH(D357,{"Oficinas";"Locales";"Estacionamientos";"Bodegas"},0),5)&amp;"|"&amp;B357&amp;"|"&amp;TEXT(G357,"yyyymmdd")&amp;"|"&amp;TEXT(H357,"yyyymmdd"))</f>
        <v>3|STELLANTIS|-|20300214</v>
      </c>
      <c r="AE357" s="4"/>
      <c r="AF357" s="4"/>
    </row>
    <row r="358" spans="1:32" x14ac:dyDescent="0.2">
      <c r="A358" s="5">
        <v>-7</v>
      </c>
      <c r="B358" s="6" t="s">
        <v>193</v>
      </c>
      <c r="C358" s="6" t="s">
        <v>24</v>
      </c>
      <c r="D358" s="6" t="s">
        <v>10</v>
      </c>
      <c r="E358" s="5">
        <v>7064</v>
      </c>
      <c r="G358" s="9" t="s">
        <v>9</v>
      </c>
      <c r="H358" s="9">
        <v>47528</v>
      </c>
      <c r="I358" s="6" t="s">
        <v>2</v>
      </c>
      <c r="L358" s="18">
        <v>1</v>
      </c>
      <c r="M358" s="19">
        <v>3</v>
      </c>
      <c r="N358" s="18">
        <v>3</v>
      </c>
      <c r="T358" s="4"/>
      <c r="U358" s="4"/>
      <c r="V358" s="4"/>
      <c r="W358" s="4"/>
      <c r="X358" s="4"/>
      <c r="Y358" s="4"/>
      <c r="Z358" s="4"/>
      <c r="AA358" s="4"/>
      <c r="AD358" s="20" t="str">
        <f>IF((B358="")+(B358="Vacante")+(D358=""),"",IFERROR(MATCH(D358,{"Oficinas";"Locales";"Estacionamientos";"Bodegas"},0),5)&amp;"|"&amp;B358&amp;"|"&amp;TEXT(G358,"yyyymmdd")&amp;"|"&amp;TEXT(H358,"yyyymmdd"))</f>
        <v>3|STELLANTIS|-|20300214</v>
      </c>
      <c r="AE358" s="4"/>
      <c r="AF358" s="4"/>
    </row>
    <row r="359" spans="1:32" x14ac:dyDescent="0.2">
      <c r="A359" s="5">
        <v>-7</v>
      </c>
      <c r="B359" s="6" t="s">
        <v>184</v>
      </c>
      <c r="C359" s="6" t="s">
        <v>36</v>
      </c>
      <c r="D359" s="6" t="s">
        <v>10</v>
      </c>
      <c r="E359" s="5">
        <v>7065</v>
      </c>
      <c r="G359" s="9" t="s">
        <v>9</v>
      </c>
      <c r="H359" s="9">
        <v>46222</v>
      </c>
      <c r="I359" s="6" t="s">
        <v>2</v>
      </c>
      <c r="L359" s="18">
        <v>1</v>
      </c>
      <c r="M359" s="19">
        <v>3.5</v>
      </c>
      <c r="N359" s="18">
        <v>3.5</v>
      </c>
      <c r="T359" s="4"/>
      <c r="U359" s="4"/>
      <c r="V359" s="4"/>
      <c r="W359" s="4"/>
      <c r="X359" s="4"/>
      <c r="Y359" s="4"/>
      <c r="Z359" s="4"/>
      <c r="AA359" s="4"/>
      <c r="AD359" s="20" t="str">
        <f>IF((B359="")+(B359="Vacante")+(D359=""),"",IFERROR(MATCH(D359,{"Oficinas";"Locales";"Estacionamientos";"Bodegas"},0),5)&amp;"|"&amp;B359&amp;"|"&amp;TEXT(G359,"yyyymmdd")&amp;"|"&amp;TEXT(H359,"yyyymmdd"))</f>
        <v>3|DEVON|-|20260719</v>
      </c>
      <c r="AE359" s="4"/>
      <c r="AF359" s="4"/>
    </row>
    <row r="360" spans="1:32" x14ac:dyDescent="0.2">
      <c r="A360" s="5">
        <v>-7</v>
      </c>
      <c r="B360" s="6" t="s">
        <v>206</v>
      </c>
      <c r="C360" s="6" t="s">
        <v>71</v>
      </c>
      <c r="D360" s="6" t="s">
        <v>10</v>
      </c>
      <c r="E360" s="5">
        <v>7066</v>
      </c>
      <c r="G360" s="9">
        <v>45716</v>
      </c>
      <c r="H360" s="9">
        <v>46446</v>
      </c>
      <c r="I360" s="6" t="s">
        <v>2</v>
      </c>
      <c r="L360" s="18">
        <v>1</v>
      </c>
      <c r="M360" s="19">
        <v>4</v>
      </c>
      <c r="N360" s="18">
        <v>4</v>
      </c>
      <c r="T360" s="4"/>
      <c r="U360" s="4"/>
      <c r="V360" s="4"/>
      <c r="W360" s="4"/>
      <c r="X360" s="4"/>
      <c r="Y360" s="4"/>
      <c r="Z360" s="4"/>
      <c r="AA360" s="4"/>
      <c r="AD360" s="20" t="str">
        <f>IF((B360="")+(B360="Vacante")+(D360=""),"",IFERROR(MATCH(D360,{"Oficinas";"Locales";"Estacionamientos";"Bodegas"},0),5)&amp;"|"&amp;B360&amp;"|"&amp;TEXT(G360,"yyyymmdd")&amp;"|"&amp;TEXT(H360,"yyyymmdd"))</f>
        <v>3|TATTERSAL|20250228|20270228</v>
      </c>
      <c r="AE360" s="4"/>
      <c r="AF360" s="4"/>
    </row>
    <row r="361" spans="1:32" x14ac:dyDescent="0.2">
      <c r="A361" s="5">
        <v>-7</v>
      </c>
      <c r="B361" s="6" t="s">
        <v>206</v>
      </c>
      <c r="C361" s="6" t="s">
        <v>71</v>
      </c>
      <c r="D361" s="6" t="s">
        <v>10</v>
      </c>
      <c r="E361" s="5">
        <v>7067</v>
      </c>
      <c r="G361" s="9">
        <v>45716</v>
      </c>
      <c r="H361" s="9">
        <v>46446</v>
      </c>
      <c r="I361" s="6" t="s">
        <v>2</v>
      </c>
      <c r="L361" s="18">
        <v>1</v>
      </c>
      <c r="M361" s="19">
        <v>4</v>
      </c>
      <c r="N361" s="18">
        <v>4</v>
      </c>
      <c r="T361" s="4"/>
      <c r="U361" s="4"/>
      <c r="V361" s="4"/>
      <c r="W361" s="4"/>
      <c r="X361" s="4"/>
      <c r="Y361" s="4"/>
      <c r="Z361" s="4"/>
      <c r="AA361" s="4"/>
      <c r="AD361" s="20" t="str">
        <f>IF((B361="")+(B361="Vacante")+(D361=""),"",IFERROR(MATCH(D361,{"Oficinas";"Locales";"Estacionamientos";"Bodegas"},0),5)&amp;"|"&amp;B361&amp;"|"&amp;TEXT(G361,"yyyymmdd")&amp;"|"&amp;TEXT(H361,"yyyymmdd"))</f>
        <v>3|TATTERSAL|20250228|20270228</v>
      </c>
      <c r="AE361" s="4"/>
      <c r="AF361" s="4"/>
    </row>
    <row r="362" spans="1:32" x14ac:dyDescent="0.2">
      <c r="A362" s="5">
        <v>-7</v>
      </c>
      <c r="B362" s="6" t="s">
        <v>206</v>
      </c>
      <c r="C362" s="6" t="s">
        <v>71</v>
      </c>
      <c r="D362" s="6" t="s">
        <v>10</v>
      </c>
      <c r="E362" s="5">
        <v>7068</v>
      </c>
      <c r="G362" s="9">
        <v>45716</v>
      </c>
      <c r="H362" s="9">
        <v>46446</v>
      </c>
      <c r="I362" s="6" t="s">
        <v>2</v>
      </c>
      <c r="L362" s="18">
        <v>1</v>
      </c>
      <c r="M362" s="19">
        <v>4</v>
      </c>
      <c r="N362" s="18">
        <v>4</v>
      </c>
      <c r="T362" s="4"/>
      <c r="U362" s="4"/>
      <c r="V362" s="4"/>
      <c r="W362" s="4"/>
      <c r="X362" s="4"/>
      <c r="Y362" s="4"/>
      <c r="Z362" s="4"/>
      <c r="AA362" s="4"/>
      <c r="AD362" s="20" t="str">
        <f>IF((B362="")+(B362="Vacante")+(D362=""),"",IFERROR(MATCH(D362,{"Oficinas";"Locales";"Estacionamientos";"Bodegas"},0),5)&amp;"|"&amp;B362&amp;"|"&amp;TEXT(G362,"yyyymmdd")&amp;"|"&amp;TEXT(H362,"yyyymmdd"))</f>
        <v>3|TATTERSAL|20250228|20270228</v>
      </c>
      <c r="AE362" s="4"/>
      <c r="AF362" s="4"/>
    </row>
    <row r="363" spans="1:32" x14ac:dyDescent="0.2">
      <c r="A363" s="5">
        <v>-7</v>
      </c>
      <c r="B363" s="6" t="s">
        <v>206</v>
      </c>
      <c r="C363" s="6" t="s">
        <v>71</v>
      </c>
      <c r="D363" s="6" t="s">
        <v>10</v>
      </c>
      <c r="E363" s="5">
        <v>7069</v>
      </c>
      <c r="G363" s="9">
        <v>45716</v>
      </c>
      <c r="H363" s="9">
        <v>46446</v>
      </c>
      <c r="I363" s="6" t="s">
        <v>2</v>
      </c>
      <c r="L363" s="18">
        <v>1</v>
      </c>
      <c r="M363" s="19">
        <v>4</v>
      </c>
      <c r="N363" s="18">
        <v>4</v>
      </c>
      <c r="T363" s="4"/>
      <c r="U363" s="4"/>
      <c r="V363" s="4"/>
      <c r="W363" s="4"/>
      <c r="X363" s="4"/>
      <c r="Y363" s="4"/>
      <c r="Z363" s="4"/>
      <c r="AA363" s="4"/>
      <c r="AD363" s="20" t="str">
        <f>IF((B363="")+(B363="Vacante")+(D363=""),"",IFERROR(MATCH(D363,{"Oficinas";"Locales";"Estacionamientos";"Bodegas"},0),5)&amp;"|"&amp;B363&amp;"|"&amp;TEXT(G363,"yyyymmdd")&amp;"|"&amp;TEXT(H363,"yyyymmdd"))</f>
        <v>3|TATTERSAL|20250228|20270228</v>
      </c>
      <c r="AE363" s="4"/>
      <c r="AF363" s="4"/>
    </row>
    <row r="364" spans="1:32" x14ac:dyDescent="0.2">
      <c r="A364" s="5">
        <v>-7</v>
      </c>
      <c r="B364" s="6" t="s">
        <v>206</v>
      </c>
      <c r="C364" s="6" t="s">
        <v>71</v>
      </c>
      <c r="D364" s="6" t="s">
        <v>10</v>
      </c>
      <c r="E364" s="5">
        <v>7070</v>
      </c>
      <c r="G364" s="9">
        <v>45716</v>
      </c>
      <c r="H364" s="9">
        <v>46446</v>
      </c>
      <c r="I364" s="6" t="s">
        <v>2</v>
      </c>
      <c r="L364" s="18">
        <v>1</v>
      </c>
      <c r="M364" s="19">
        <v>4</v>
      </c>
      <c r="N364" s="18">
        <v>4</v>
      </c>
      <c r="T364" s="4"/>
      <c r="U364" s="4"/>
      <c r="V364" s="4"/>
      <c r="W364" s="4"/>
      <c r="X364" s="4"/>
      <c r="Y364" s="4"/>
      <c r="Z364" s="4"/>
      <c r="AA364" s="4"/>
      <c r="AD364" s="20" t="str">
        <f>IF((B364="")+(B364="Vacante")+(D364=""),"",IFERROR(MATCH(D364,{"Oficinas";"Locales";"Estacionamientos";"Bodegas"},0),5)&amp;"|"&amp;B364&amp;"|"&amp;TEXT(G364,"yyyymmdd")&amp;"|"&amp;TEXT(H364,"yyyymmdd"))</f>
        <v>3|TATTERSAL|20250228|20270228</v>
      </c>
      <c r="AE364" s="4"/>
      <c r="AF364" s="4"/>
    </row>
    <row r="365" spans="1:32" x14ac:dyDescent="0.2">
      <c r="A365" s="5">
        <v>-7</v>
      </c>
      <c r="B365" s="6" t="s">
        <v>193</v>
      </c>
      <c r="C365" s="6" t="s">
        <v>24</v>
      </c>
      <c r="D365" s="6" t="s">
        <v>10</v>
      </c>
      <c r="E365" s="5">
        <v>7071</v>
      </c>
      <c r="G365" s="9" t="s">
        <v>9</v>
      </c>
      <c r="H365" s="9">
        <v>47528</v>
      </c>
      <c r="I365" s="6" t="s">
        <v>2</v>
      </c>
      <c r="L365" s="18">
        <v>1</v>
      </c>
      <c r="M365" s="19">
        <v>3</v>
      </c>
      <c r="N365" s="18">
        <v>3</v>
      </c>
      <c r="T365" s="4"/>
      <c r="U365" s="4"/>
      <c r="V365" s="4"/>
      <c r="W365" s="4"/>
      <c r="X365" s="4"/>
      <c r="Y365" s="4"/>
      <c r="Z365" s="4"/>
      <c r="AA365" s="4"/>
      <c r="AD365" s="20" t="str">
        <f>IF((B365="")+(B365="Vacante")+(D365=""),"",IFERROR(MATCH(D365,{"Oficinas";"Locales";"Estacionamientos";"Bodegas"},0),5)&amp;"|"&amp;B365&amp;"|"&amp;TEXT(G365,"yyyymmdd")&amp;"|"&amp;TEXT(H365,"yyyymmdd"))</f>
        <v>3|STELLANTIS|-|20300214</v>
      </c>
      <c r="AE365" s="4"/>
      <c r="AF365" s="4"/>
    </row>
    <row r="366" spans="1:32" x14ac:dyDescent="0.2">
      <c r="A366" s="5">
        <v>-7</v>
      </c>
      <c r="B366" s="6" t="s">
        <v>193</v>
      </c>
      <c r="C366" s="6" t="s">
        <v>24</v>
      </c>
      <c r="D366" s="6" t="s">
        <v>10</v>
      </c>
      <c r="E366" s="5">
        <v>7072</v>
      </c>
      <c r="G366" s="9" t="s">
        <v>9</v>
      </c>
      <c r="H366" s="9">
        <v>47528</v>
      </c>
      <c r="I366" s="6" t="s">
        <v>2</v>
      </c>
      <c r="L366" s="18">
        <v>1</v>
      </c>
      <c r="M366" s="19">
        <v>3</v>
      </c>
      <c r="N366" s="18">
        <v>3</v>
      </c>
      <c r="T366" s="4"/>
      <c r="U366" s="4"/>
      <c r="V366" s="4"/>
      <c r="W366" s="4"/>
      <c r="X366" s="4"/>
      <c r="Y366" s="4"/>
      <c r="Z366" s="4"/>
      <c r="AA366" s="4"/>
      <c r="AD366" s="20" t="str">
        <f>IF((B366="")+(B366="Vacante")+(D366=""),"",IFERROR(MATCH(D366,{"Oficinas";"Locales";"Estacionamientos";"Bodegas"},0),5)&amp;"|"&amp;B366&amp;"|"&amp;TEXT(G366,"yyyymmdd")&amp;"|"&amp;TEXT(H366,"yyyymmdd"))</f>
        <v>3|STELLANTIS|-|20300214</v>
      </c>
      <c r="AE366" s="4"/>
      <c r="AF366" s="4"/>
    </row>
    <row r="367" spans="1:32" x14ac:dyDescent="0.2">
      <c r="A367" s="5">
        <v>-7</v>
      </c>
      <c r="B367" s="6" t="s">
        <v>183</v>
      </c>
      <c r="C367" s="6" t="s">
        <v>42</v>
      </c>
      <c r="D367" s="6" t="s">
        <v>10</v>
      </c>
      <c r="E367" s="5">
        <v>7073</v>
      </c>
      <c r="G367" s="9" t="s">
        <v>9</v>
      </c>
      <c r="H367" s="9">
        <v>47087</v>
      </c>
      <c r="I367" s="6" t="s">
        <v>2</v>
      </c>
      <c r="L367" s="18">
        <v>1</v>
      </c>
      <c r="M367" s="19">
        <v>4.3</v>
      </c>
      <c r="N367" s="18">
        <v>4.3</v>
      </c>
      <c r="T367" s="4"/>
      <c r="U367" s="4"/>
      <c r="V367" s="4"/>
      <c r="W367" s="4"/>
      <c r="X367" s="4"/>
      <c r="Y367" s="4"/>
      <c r="Z367" s="4"/>
      <c r="AA367" s="4"/>
      <c r="AD367" s="20" t="str">
        <f>IF((B367="")+(B367="Vacante")+(D367=""),"",IFERROR(MATCH(D367,{"Oficinas";"Locales";"Estacionamientos";"Bodegas"},0),5)&amp;"|"&amp;B367&amp;"|"&amp;TEXT(G367,"yyyymmdd")&amp;"|"&amp;TEXT(H367,"yyyymmdd"))</f>
        <v>3|RED ELECTRICA |-|20281130</v>
      </c>
      <c r="AE367" s="4"/>
      <c r="AF367" s="4"/>
    </row>
    <row r="368" spans="1:32" x14ac:dyDescent="0.2">
      <c r="A368" s="5">
        <v>-7</v>
      </c>
      <c r="B368" s="6" t="s">
        <v>183</v>
      </c>
      <c r="C368" s="6" t="s">
        <v>42</v>
      </c>
      <c r="D368" s="6" t="s">
        <v>10</v>
      </c>
      <c r="E368" s="5">
        <v>7074</v>
      </c>
      <c r="G368" s="9" t="s">
        <v>9</v>
      </c>
      <c r="H368" s="9">
        <v>47087</v>
      </c>
      <c r="I368" s="6" t="s">
        <v>2</v>
      </c>
      <c r="L368" s="18">
        <v>1</v>
      </c>
      <c r="M368" s="19">
        <v>4.3</v>
      </c>
      <c r="N368" s="18">
        <v>4.3</v>
      </c>
      <c r="T368" s="4"/>
      <c r="U368" s="4"/>
      <c r="V368" s="4"/>
      <c r="W368" s="4"/>
      <c r="X368" s="4"/>
      <c r="Y368" s="4"/>
      <c r="Z368" s="4"/>
      <c r="AA368" s="4"/>
      <c r="AD368" s="20" t="str">
        <f>IF((B368="")+(B368="Vacante")+(D368=""),"",IFERROR(MATCH(D368,{"Oficinas";"Locales";"Estacionamientos";"Bodegas"},0),5)&amp;"|"&amp;B368&amp;"|"&amp;TEXT(G368,"yyyymmdd")&amp;"|"&amp;TEXT(H368,"yyyymmdd"))</f>
        <v>3|RED ELECTRICA |-|20281130</v>
      </c>
      <c r="AE368" s="4"/>
      <c r="AF368" s="4"/>
    </row>
    <row r="369" spans="1:32" x14ac:dyDescent="0.2">
      <c r="A369" s="5">
        <v>-7</v>
      </c>
      <c r="B369" s="6" t="s">
        <v>183</v>
      </c>
      <c r="C369" s="6" t="s">
        <v>42</v>
      </c>
      <c r="D369" s="6" t="s">
        <v>10</v>
      </c>
      <c r="E369" s="5">
        <v>7075</v>
      </c>
      <c r="G369" s="9" t="s">
        <v>9</v>
      </c>
      <c r="H369" s="9">
        <v>47087</v>
      </c>
      <c r="I369" s="6" t="s">
        <v>2</v>
      </c>
      <c r="L369" s="18">
        <v>1</v>
      </c>
      <c r="M369" s="19">
        <v>4.3</v>
      </c>
      <c r="N369" s="18">
        <v>4.3</v>
      </c>
      <c r="T369" s="4"/>
      <c r="U369" s="4"/>
      <c r="V369" s="4"/>
      <c r="W369" s="4"/>
      <c r="X369" s="4"/>
      <c r="Y369" s="4"/>
      <c r="Z369" s="4"/>
      <c r="AA369" s="4"/>
      <c r="AD369" s="20" t="str">
        <f>IF((B369="")+(B369="Vacante")+(D369=""),"",IFERROR(MATCH(D369,{"Oficinas";"Locales";"Estacionamientos";"Bodegas"},0),5)&amp;"|"&amp;B369&amp;"|"&amp;TEXT(G369,"yyyymmdd")&amp;"|"&amp;TEXT(H369,"yyyymmdd"))</f>
        <v>3|RED ELECTRICA |-|20281130</v>
      </c>
      <c r="AE369" s="4"/>
      <c r="AF369" s="4"/>
    </row>
    <row r="370" spans="1:32" x14ac:dyDescent="0.2">
      <c r="A370" s="5">
        <v>-7</v>
      </c>
      <c r="B370" s="6" t="s">
        <v>183</v>
      </c>
      <c r="C370" s="6" t="s">
        <v>42</v>
      </c>
      <c r="D370" s="6" t="s">
        <v>10</v>
      </c>
      <c r="E370" s="5">
        <v>7076</v>
      </c>
      <c r="G370" s="9" t="s">
        <v>9</v>
      </c>
      <c r="H370" s="9">
        <v>47087</v>
      </c>
      <c r="I370" s="6" t="s">
        <v>2</v>
      </c>
      <c r="L370" s="18">
        <v>1</v>
      </c>
      <c r="M370" s="19">
        <v>4.3</v>
      </c>
      <c r="N370" s="18">
        <v>4.3</v>
      </c>
      <c r="T370" s="4"/>
      <c r="U370" s="4"/>
      <c r="V370" s="4"/>
      <c r="W370" s="4"/>
      <c r="X370" s="4"/>
      <c r="Y370" s="4"/>
      <c r="Z370" s="4"/>
      <c r="AA370" s="4"/>
      <c r="AD370" s="20" t="str">
        <f>IF((B370="")+(B370="Vacante")+(D370=""),"",IFERROR(MATCH(D370,{"Oficinas";"Locales";"Estacionamientos";"Bodegas"},0),5)&amp;"|"&amp;B370&amp;"|"&amp;TEXT(G370,"yyyymmdd")&amp;"|"&amp;TEXT(H370,"yyyymmdd"))</f>
        <v>3|RED ELECTRICA |-|20281130</v>
      </c>
      <c r="AE370" s="4"/>
      <c r="AF370" s="4"/>
    </row>
    <row r="371" spans="1:32" x14ac:dyDescent="0.2">
      <c r="A371" s="5">
        <v>-7</v>
      </c>
      <c r="B371" s="6" t="s">
        <v>206</v>
      </c>
      <c r="C371" s="6" t="s">
        <v>71</v>
      </c>
      <c r="D371" s="6" t="s">
        <v>10</v>
      </c>
      <c r="E371" s="5">
        <v>7077</v>
      </c>
      <c r="G371" s="9">
        <v>45716</v>
      </c>
      <c r="H371" s="9">
        <v>46446</v>
      </c>
      <c r="I371" s="6" t="s">
        <v>2</v>
      </c>
      <c r="L371" s="18">
        <v>1</v>
      </c>
      <c r="M371" s="19">
        <v>4</v>
      </c>
      <c r="N371" s="18">
        <v>4</v>
      </c>
      <c r="T371" s="4"/>
      <c r="U371" s="4"/>
      <c r="V371" s="4"/>
      <c r="W371" s="4"/>
      <c r="X371" s="4"/>
      <c r="Y371" s="4"/>
      <c r="Z371" s="4"/>
      <c r="AA371" s="4"/>
      <c r="AD371" s="20" t="str">
        <f>IF((B371="")+(B371="Vacante")+(D371=""),"",IFERROR(MATCH(D371,{"Oficinas";"Locales";"Estacionamientos";"Bodegas"},0),5)&amp;"|"&amp;B371&amp;"|"&amp;TEXT(G371,"yyyymmdd")&amp;"|"&amp;TEXT(H371,"yyyymmdd"))</f>
        <v>3|TATTERSAL|20250228|20270228</v>
      </c>
      <c r="AE371" s="4"/>
      <c r="AF371" s="4"/>
    </row>
    <row r="372" spans="1:32" x14ac:dyDescent="0.2">
      <c r="A372" s="5">
        <v>-7</v>
      </c>
      <c r="B372" s="6" t="s">
        <v>206</v>
      </c>
      <c r="C372" s="6" t="s">
        <v>71</v>
      </c>
      <c r="D372" s="6" t="s">
        <v>10</v>
      </c>
      <c r="E372" s="5">
        <v>7078</v>
      </c>
      <c r="G372" s="9">
        <v>45716</v>
      </c>
      <c r="H372" s="9">
        <v>46446</v>
      </c>
      <c r="I372" s="6" t="s">
        <v>2</v>
      </c>
      <c r="L372" s="18">
        <v>1</v>
      </c>
      <c r="M372" s="19">
        <v>4</v>
      </c>
      <c r="N372" s="18">
        <v>4</v>
      </c>
      <c r="T372" s="4"/>
      <c r="U372" s="4"/>
      <c r="V372" s="4"/>
      <c r="W372" s="4"/>
      <c r="X372" s="4"/>
      <c r="Y372" s="4"/>
      <c r="Z372" s="4"/>
      <c r="AA372" s="4"/>
      <c r="AD372" s="20" t="str">
        <f>IF((B372="")+(B372="Vacante")+(D372=""),"",IFERROR(MATCH(D372,{"Oficinas";"Locales";"Estacionamientos";"Bodegas"},0),5)&amp;"|"&amp;B372&amp;"|"&amp;TEXT(G372,"yyyymmdd")&amp;"|"&amp;TEXT(H372,"yyyymmdd"))</f>
        <v>3|TATTERSAL|20250228|20270228</v>
      </c>
      <c r="AE372" s="4"/>
      <c r="AF372" s="4"/>
    </row>
    <row r="373" spans="1:32" x14ac:dyDescent="0.2">
      <c r="A373" s="5">
        <v>-7</v>
      </c>
      <c r="B373" s="6" t="s">
        <v>206</v>
      </c>
      <c r="C373" s="6" t="s">
        <v>71</v>
      </c>
      <c r="D373" s="6" t="s">
        <v>10</v>
      </c>
      <c r="E373" s="5">
        <v>7079</v>
      </c>
      <c r="G373" s="9">
        <v>45716</v>
      </c>
      <c r="H373" s="9">
        <v>46446</v>
      </c>
      <c r="I373" s="6" t="s">
        <v>2</v>
      </c>
      <c r="L373" s="18">
        <v>1</v>
      </c>
      <c r="M373" s="19">
        <v>4</v>
      </c>
      <c r="N373" s="18">
        <v>4</v>
      </c>
      <c r="T373" s="4"/>
      <c r="U373" s="4"/>
      <c r="V373" s="4"/>
      <c r="W373" s="4"/>
      <c r="X373" s="4"/>
      <c r="Y373" s="4"/>
      <c r="Z373" s="4"/>
      <c r="AA373" s="4"/>
      <c r="AD373" s="20" t="str">
        <f>IF((B373="")+(B373="Vacante")+(D373=""),"",IFERROR(MATCH(D373,{"Oficinas";"Locales";"Estacionamientos";"Bodegas"},0),5)&amp;"|"&amp;B373&amp;"|"&amp;TEXT(G373,"yyyymmdd")&amp;"|"&amp;TEXT(H373,"yyyymmdd"))</f>
        <v>3|TATTERSAL|20250228|20270228</v>
      </c>
      <c r="AE373" s="4"/>
      <c r="AF373" s="4"/>
    </row>
    <row r="374" spans="1:32" x14ac:dyDescent="0.2">
      <c r="A374" s="5">
        <v>-7</v>
      </c>
      <c r="B374" s="6" t="s">
        <v>206</v>
      </c>
      <c r="C374" s="6" t="s">
        <v>71</v>
      </c>
      <c r="D374" s="6" t="s">
        <v>10</v>
      </c>
      <c r="E374" s="5">
        <v>7080</v>
      </c>
      <c r="G374" s="9">
        <v>45716</v>
      </c>
      <c r="H374" s="9">
        <v>46446</v>
      </c>
      <c r="I374" s="6" t="s">
        <v>2</v>
      </c>
      <c r="L374" s="18">
        <v>1</v>
      </c>
      <c r="M374" s="19">
        <v>4</v>
      </c>
      <c r="N374" s="18">
        <v>4</v>
      </c>
      <c r="T374" s="4"/>
      <c r="U374" s="4"/>
      <c r="V374" s="4"/>
      <c r="W374" s="4"/>
      <c r="X374" s="4"/>
      <c r="Y374" s="4"/>
      <c r="Z374" s="4"/>
      <c r="AA374" s="4"/>
      <c r="AD374" s="20" t="str">
        <f>IF((B374="")+(B374="Vacante")+(D374=""),"",IFERROR(MATCH(D374,{"Oficinas";"Locales";"Estacionamientos";"Bodegas"},0),5)&amp;"|"&amp;B374&amp;"|"&amp;TEXT(G374,"yyyymmdd")&amp;"|"&amp;TEXT(H374,"yyyymmdd"))</f>
        <v>3|TATTERSAL|20250228|20270228</v>
      </c>
      <c r="AE374" s="4"/>
      <c r="AF374" s="4"/>
    </row>
    <row r="375" spans="1:32" x14ac:dyDescent="0.2">
      <c r="A375" s="5">
        <v>-7</v>
      </c>
      <c r="B375" s="6" t="s">
        <v>206</v>
      </c>
      <c r="C375" s="6" t="s">
        <v>71</v>
      </c>
      <c r="D375" s="6" t="s">
        <v>10</v>
      </c>
      <c r="E375" s="5">
        <v>7081</v>
      </c>
      <c r="G375" s="9">
        <v>45716</v>
      </c>
      <c r="H375" s="9">
        <v>46446</v>
      </c>
      <c r="I375" s="6" t="s">
        <v>2</v>
      </c>
      <c r="L375" s="18">
        <v>1</v>
      </c>
      <c r="M375" s="19">
        <v>4</v>
      </c>
      <c r="N375" s="18">
        <v>4</v>
      </c>
      <c r="T375" s="4"/>
      <c r="U375" s="4"/>
      <c r="V375" s="4"/>
      <c r="W375" s="4"/>
      <c r="X375" s="4"/>
      <c r="Y375" s="4"/>
      <c r="Z375" s="4"/>
      <c r="AA375" s="4"/>
      <c r="AD375" s="20" t="str">
        <f>IF((B375="")+(B375="Vacante")+(D375=""),"",IFERROR(MATCH(D375,{"Oficinas";"Locales";"Estacionamientos";"Bodegas"},0),5)&amp;"|"&amp;B375&amp;"|"&amp;TEXT(G375,"yyyymmdd")&amp;"|"&amp;TEXT(H375,"yyyymmdd"))</f>
        <v>3|TATTERSAL|20250228|20270228</v>
      </c>
      <c r="AE375" s="4"/>
      <c r="AF375" s="4"/>
    </row>
    <row r="376" spans="1:32" x14ac:dyDescent="0.2">
      <c r="A376" s="5">
        <v>-7</v>
      </c>
      <c r="B376" s="6" t="s">
        <v>206</v>
      </c>
      <c r="C376" s="6" t="s">
        <v>71</v>
      </c>
      <c r="D376" s="6" t="s">
        <v>10</v>
      </c>
      <c r="E376" s="5">
        <v>7082</v>
      </c>
      <c r="G376" s="9">
        <v>45716</v>
      </c>
      <c r="H376" s="9">
        <v>46446</v>
      </c>
      <c r="I376" s="6" t="s">
        <v>2</v>
      </c>
      <c r="L376" s="18">
        <v>1</v>
      </c>
      <c r="M376" s="19">
        <v>4</v>
      </c>
      <c r="N376" s="18">
        <v>4</v>
      </c>
      <c r="T376" s="4"/>
      <c r="U376" s="4"/>
      <c r="V376" s="4"/>
      <c r="W376" s="4"/>
      <c r="X376" s="4"/>
      <c r="Y376" s="4"/>
      <c r="Z376" s="4"/>
      <c r="AA376" s="4"/>
      <c r="AD376" s="20" t="str">
        <f>IF((B376="")+(B376="Vacante")+(D376=""),"",IFERROR(MATCH(D376,{"Oficinas";"Locales";"Estacionamientos";"Bodegas"},0),5)&amp;"|"&amp;B376&amp;"|"&amp;TEXT(G376,"yyyymmdd")&amp;"|"&amp;TEXT(H376,"yyyymmdd"))</f>
        <v>3|TATTERSAL|20250228|20270228</v>
      </c>
      <c r="AE376" s="4"/>
      <c r="AF376" s="4"/>
    </row>
    <row r="377" spans="1:32" x14ac:dyDescent="0.2">
      <c r="A377" s="5">
        <v>-7</v>
      </c>
      <c r="B377" s="6" t="s">
        <v>206</v>
      </c>
      <c r="C377" s="6" t="s">
        <v>71</v>
      </c>
      <c r="D377" s="6" t="s">
        <v>10</v>
      </c>
      <c r="E377" s="5">
        <v>7083</v>
      </c>
      <c r="G377" s="9">
        <v>45716</v>
      </c>
      <c r="H377" s="9">
        <v>46446</v>
      </c>
      <c r="I377" s="6" t="s">
        <v>2</v>
      </c>
      <c r="L377" s="18">
        <v>1</v>
      </c>
      <c r="M377" s="19">
        <v>4</v>
      </c>
      <c r="N377" s="18">
        <v>4</v>
      </c>
      <c r="T377" s="4"/>
      <c r="U377" s="4"/>
      <c r="V377" s="4"/>
      <c r="W377" s="4"/>
      <c r="X377" s="4"/>
      <c r="Y377" s="4"/>
      <c r="Z377" s="4"/>
      <c r="AA377" s="4"/>
      <c r="AD377" s="20" t="str">
        <f>IF((B377="")+(B377="Vacante")+(D377=""),"",IFERROR(MATCH(D377,{"Oficinas";"Locales";"Estacionamientos";"Bodegas"},0),5)&amp;"|"&amp;B377&amp;"|"&amp;TEXT(G377,"yyyymmdd")&amp;"|"&amp;TEXT(H377,"yyyymmdd"))</f>
        <v>3|TATTERSAL|20250228|20270228</v>
      </c>
      <c r="AE377" s="4"/>
      <c r="AF377" s="4"/>
    </row>
    <row r="378" spans="1:32" x14ac:dyDescent="0.2">
      <c r="A378" s="5">
        <v>-7</v>
      </c>
      <c r="B378" s="6" t="s">
        <v>206</v>
      </c>
      <c r="C378" s="6" t="s">
        <v>71</v>
      </c>
      <c r="D378" s="6" t="s">
        <v>10</v>
      </c>
      <c r="E378" s="5">
        <v>7084</v>
      </c>
      <c r="G378" s="9">
        <v>45716</v>
      </c>
      <c r="H378" s="9">
        <v>46446</v>
      </c>
      <c r="I378" s="6" t="s">
        <v>2</v>
      </c>
      <c r="L378" s="18">
        <v>1</v>
      </c>
      <c r="M378" s="19">
        <v>4</v>
      </c>
      <c r="N378" s="18">
        <v>4</v>
      </c>
      <c r="T378" s="4"/>
      <c r="U378" s="4"/>
      <c r="V378" s="4"/>
      <c r="W378" s="4"/>
      <c r="X378" s="4"/>
      <c r="Y378" s="4"/>
      <c r="Z378" s="4"/>
      <c r="AA378" s="4"/>
      <c r="AD378" s="20" t="str">
        <f>IF((B378="")+(B378="Vacante")+(D378=""),"",IFERROR(MATCH(D378,{"Oficinas";"Locales";"Estacionamientos";"Bodegas"},0),5)&amp;"|"&amp;B378&amp;"|"&amp;TEXT(G378,"yyyymmdd")&amp;"|"&amp;TEXT(H378,"yyyymmdd"))</f>
        <v>3|TATTERSAL|20250228|20270228</v>
      </c>
      <c r="AE378" s="4"/>
      <c r="AF378" s="4"/>
    </row>
    <row r="379" spans="1:32" x14ac:dyDescent="0.2">
      <c r="A379" s="5">
        <v>-7</v>
      </c>
      <c r="B379" s="6" t="s">
        <v>206</v>
      </c>
      <c r="C379" s="6" t="s">
        <v>71</v>
      </c>
      <c r="D379" s="6" t="s">
        <v>10</v>
      </c>
      <c r="E379" s="5">
        <v>7085</v>
      </c>
      <c r="G379" s="9">
        <v>45716</v>
      </c>
      <c r="H379" s="9">
        <v>46446</v>
      </c>
      <c r="I379" s="6" t="s">
        <v>2</v>
      </c>
      <c r="L379" s="18">
        <v>1</v>
      </c>
      <c r="M379" s="19">
        <v>4</v>
      </c>
      <c r="N379" s="18">
        <v>4</v>
      </c>
      <c r="T379" s="4"/>
      <c r="U379" s="4"/>
      <c r="V379" s="4"/>
      <c r="W379" s="4"/>
      <c r="X379" s="4"/>
      <c r="Y379" s="4"/>
      <c r="Z379" s="4"/>
      <c r="AA379" s="4"/>
      <c r="AD379" s="20" t="str">
        <f>IF((B379="")+(B379="Vacante")+(D379=""),"",IFERROR(MATCH(D379,{"Oficinas";"Locales";"Estacionamientos";"Bodegas"},0),5)&amp;"|"&amp;B379&amp;"|"&amp;TEXT(G379,"yyyymmdd")&amp;"|"&amp;TEXT(H379,"yyyymmdd"))</f>
        <v>3|TATTERSAL|20250228|20270228</v>
      </c>
      <c r="AE379" s="4"/>
      <c r="AF379" s="4"/>
    </row>
    <row r="380" spans="1:32" x14ac:dyDescent="0.2">
      <c r="A380" s="5">
        <v>-7</v>
      </c>
      <c r="B380" s="6" t="s">
        <v>206</v>
      </c>
      <c r="C380" s="6" t="s">
        <v>71</v>
      </c>
      <c r="D380" s="6" t="s">
        <v>10</v>
      </c>
      <c r="E380" s="5">
        <v>7086</v>
      </c>
      <c r="G380" s="9">
        <v>45716</v>
      </c>
      <c r="H380" s="9">
        <v>46446</v>
      </c>
      <c r="I380" s="6" t="s">
        <v>2</v>
      </c>
      <c r="L380" s="18">
        <v>1</v>
      </c>
      <c r="M380" s="19">
        <v>4</v>
      </c>
      <c r="N380" s="18">
        <v>4</v>
      </c>
      <c r="T380" s="4"/>
      <c r="U380" s="4"/>
      <c r="V380" s="4"/>
      <c r="W380" s="4"/>
      <c r="X380" s="4"/>
      <c r="Y380" s="4"/>
      <c r="Z380" s="4"/>
      <c r="AA380" s="4"/>
      <c r="AD380" s="20" t="str">
        <f>IF((B380="")+(B380="Vacante")+(D380=""),"",IFERROR(MATCH(D380,{"Oficinas";"Locales";"Estacionamientos";"Bodegas"},0),5)&amp;"|"&amp;B380&amp;"|"&amp;TEXT(G380,"yyyymmdd")&amp;"|"&amp;TEXT(H380,"yyyymmdd"))</f>
        <v>3|TATTERSAL|20250228|20270228</v>
      </c>
      <c r="AE380" s="4"/>
      <c r="AF380" s="4"/>
    </row>
    <row r="381" spans="1:32" x14ac:dyDescent="0.2">
      <c r="A381" s="5">
        <v>-7</v>
      </c>
      <c r="B381" s="6" t="s">
        <v>180</v>
      </c>
      <c r="C381" s="6" t="s">
        <v>43</v>
      </c>
      <c r="D381" s="6" t="s">
        <v>10</v>
      </c>
      <c r="E381" s="5">
        <v>7087</v>
      </c>
      <c r="G381" s="9" t="s">
        <v>9</v>
      </c>
      <c r="H381" s="9">
        <v>46996</v>
      </c>
      <c r="I381" s="6" t="s">
        <v>2</v>
      </c>
      <c r="L381" s="18">
        <v>1</v>
      </c>
      <c r="M381" s="19">
        <v>4.3</v>
      </c>
      <c r="N381" s="18">
        <v>4.3</v>
      </c>
      <c r="T381" s="4"/>
      <c r="U381" s="4"/>
      <c r="V381" s="4"/>
      <c r="W381" s="4"/>
      <c r="X381" s="4"/>
      <c r="Y381" s="4"/>
      <c r="Z381" s="4"/>
      <c r="AA381" s="4"/>
      <c r="AD381" s="20" t="str">
        <f>IF((B381="")+(B381="Vacante")+(D381=""),"",IFERROR(MATCH(D381,{"Oficinas";"Locales";"Estacionamientos";"Bodegas"},0),5)&amp;"|"&amp;B381&amp;"|"&amp;TEXT(G381,"yyyymmdd")&amp;"|"&amp;TEXT(H381,"yyyymmdd"))</f>
        <v>3|KAUFMANN|-|20280831</v>
      </c>
      <c r="AE381" s="4"/>
      <c r="AF381" s="4"/>
    </row>
    <row r="382" spans="1:32" x14ac:dyDescent="0.2">
      <c r="A382" s="5">
        <v>-7</v>
      </c>
      <c r="B382" s="6" t="s">
        <v>184</v>
      </c>
      <c r="C382" s="6" t="s">
        <v>36</v>
      </c>
      <c r="D382" s="6" t="s">
        <v>10</v>
      </c>
      <c r="E382" s="5">
        <v>7088</v>
      </c>
      <c r="G382" s="9" t="s">
        <v>9</v>
      </c>
      <c r="H382" s="9">
        <v>46222</v>
      </c>
      <c r="I382" s="6" t="s">
        <v>2</v>
      </c>
      <c r="L382" s="18">
        <v>1</v>
      </c>
      <c r="M382" s="19">
        <v>3.5</v>
      </c>
      <c r="N382" s="18">
        <v>3.5</v>
      </c>
      <c r="T382" s="4"/>
      <c r="U382" s="4"/>
      <c r="V382" s="4"/>
      <c r="W382" s="4"/>
      <c r="X382" s="4"/>
      <c r="Y382" s="4"/>
      <c r="Z382" s="4"/>
      <c r="AA382" s="4"/>
      <c r="AD382" s="20" t="str">
        <f>IF((B382="")+(B382="Vacante")+(D382=""),"",IFERROR(MATCH(D382,{"Oficinas";"Locales";"Estacionamientos";"Bodegas"},0),5)&amp;"|"&amp;B382&amp;"|"&amp;TEXT(G382,"yyyymmdd")&amp;"|"&amp;TEXT(H382,"yyyymmdd"))</f>
        <v>3|DEVON|-|20260719</v>
      </c>
      <c r="AE382" s="4"/>
      <c r="AF382" s="4"/>
    </row>
    <row r="383" spans="1:32" x14ac:dyDescent="0.2">
      <c r="A383" s="5">
        <v>-7</v>
      </c>
      <c r="B383" s="6" t="s">
        <v>184</v>
      </c>
      <c r="C383" s="6" t="s">
        <v>36</v>
      </c>
      <c r="D383" s="6" t="s">
        <v>10</v>
      </c>
      <c r="E383" s="5">
        <v>7089</v>
      </c>
      <c r="G383" s="9" t="s">
        <v>9</v>
      </c>
      <c r="H383" s="9">
        <v>46222</v>
      </c>
      <c r="I383" s="6" t="s">
        <v>2</v>
      </c>
      <c r="L383" s="18">
        <v>1</v>
      </c>
      <c r="M383" s="19">
        <v>3.5</v>
      </c>
      <c r="N383" s="18">
        <v>3.5</v>
      </c>
      <c r="T383" s="4"/>
      <c r="U383" s="4"/>
      <c r="V383" s="4"/>
      <c r="W383" s="4"/>
      <c r="X383" s="4"/>
      <c r="Y383" s="4"/>
      <c r="Z383" s="4"/>
      <c r="AA383" s="4"/>
      <c r="AD383" s="20" t="str">
        <f>IF((B383="")+(B383="Vacante")+(D383=""),"",IFERROR(MATCH(D383,{"Oficinas";"Locales";"Estacionamientos";"Bodegas"},0),5)&amp;"|"&amp;B383&amp;"|"&amp;TEXT(G383,"yyyymmdd")&amp;"|"&amp;TEXT(H383,"yyyymmdd"))</f>
        <v>3|DEVON|-|20260719</v>
      </c>
      <c r="AE383" s="4"/>
      <c r="AF383" s="4"/>
    </row>
    <row r="384" spans="1:32" x14ac:dyDescent="0.2">
      <c r="A384" s="5">
        <v>-7</v>
      </c>
      <c r="B384" s="6" t="s">
        <v>180</v>
      </c>
      <c r="C384" s="6" t="s">
        <v>43</v>
      </c>
      <c r="D384" s="6" t="s">
        <v>10</v>
      </c>
      <c r="E384" s="5">
        <v>7090</v>
      </c>
      <c r="G384" s="9" t="s">
        <v>9</v>
      </c>
      <c r="H384" s="9">
        <v>46996</v>
      </c>
      <c r="I384" s="6" t="s">
        <v>2</v>
      </c>
      <c r="L384" s="18">
        <v>1</v>
      </c>
      <c r="M384" s="19">
        <v>4.3</v>
      </c>
      <c r="N384" s="18">
        <v>4.3</v>
      </c>
      <c r="T384" s="4"/>
      <c r="U384" s="4"/>
      <c r="V384" s="4"/>
      <c r="W384" s="4"/>
      <c r="X384" s="4"/>
      <c r="Y384" s="4"/>
      <c r="Z384" s="4"/>
      <c r="AA384" s="4"/>
      <c r="AD384" s="20" t="str">
        <f>IF((B384="")+(B384="Vacante")+(D384=""),"",IFERROR(MATCH(D384,{"Oficinas";"Locales";"Estacionamientos";"Bodegas"},0),5)&amp;"|"&amp;B384&amp;"|"&amp;TEXT(G384,"yyyymmdd")&amp;"|"&amp;TEXT(H384,"yyyymmdd"))</f>
        <v>3|KAUFMANN|-|20280831</v>
      </c>
      <c r="AE384" s="4"/>
      <c r="AF384" s="4"/>
    </row>
    <row r="385" spans="1:32" x14ac:dyDescent="0.2">
      <c r="A385" s="5">
        <v>-7</v>
      </c>
      <c r="B385" s="6" t="s">
        <v>183</v>
      </c>
      <c r="C385" s="6" t="s">
        <v>42</v>
      </c>
      <c r="D385" s="6" t="s">
        <v>10</v>
      </c>
      <c r="E385" s="5">
        <v>7091</v>
      </c>
      <c r="G385" s="9" t="s">
        <v>9</v>
      </c>
      <c r="H385" s="9">
        <v>47087</v>
      </c>
      <c r="I385" s="6" t="s">
        <v>2</v>
      </c>
      <c r="L385" s="18">
        <v>1</v>
      </c>
      <c r="M385" s="19">
        <v>4.3</v>
      </c>
      <c r="N385" s="18">
        <v>4.3</v>
      </c>
      <c r="T385" s="4"/>
      <c r="U385" s="4"/>
      <c r="V385" s="4"/>
      <c r="W385" s="4"/>
      <c r="X385" s="4"/>
      <c r="Y385" s="4"/>
      <c r="Z385" s="4"/>
      <c r="AA385" s="4"/>
      <c r="AD385" s="20" t="str">
        <f>IF((B385="")+(B385="Vacante")+(D385=""),"",IFERROR(MATCH(D385,{"Oficinas";"Locales";"Estacionamientos";"Bodegas"},0),5)&amp;"|"&amp;B385&amp;"|"&amp;TEXT(G385,"yyyymmdd")&amp;"|"&amp;TEXT(H385,"yyyymmdd"))</f>
        <v>3|RED ELECTRICA |-|20281130</v>
      </c>
      <c r="AE385" s="4"/>
      <c r="AF385" s="4"/>
    </row>
    <row r="386" spans="1:32" x14ac:dyDescent="0.2">
      <c r="A386" s="5">
        <v>-7</v>
      </c>
      <c r="B386" s="6" t="s">
        <v>4</v>
      </c>
      <c r="C386" s="6" t="s">
        <v>4</v>
      </c>
      <c r="D386" s="6" t="s">
        <v>10</v>
      </c>
      <c r="E386" s="5">
        <v>7092</v>
      </c>
      <c r="G386" s="9" t="s">
        <v>9</v>
      </c>
      <c r="H386" s="9" t="s">
        <v>9</v>
      </c>
      <c r="I386" s="6" t="s">
        <v>2</v>
      </c>
      <c r="L386" s="18">
        <v>1</v>
      </c>
      <c r="M386" s="19">
        <v>0</v>
      </c>
      <c r="N386" s="18">
        <v>0</v>
      </c>
      <c r="T386" s="4"/>
      <c r="U386" s="4"/>
      <c r="V386" s="4"/>
      <c r="W386" s="4"/>
      <c r="X386" s="4"/>
      <c r="Y386" s="4"/>
      <c r="Z386" s="4"/>
      <c r="AA386" s="4"/>
      <c r="AD386" s="20" t="str">
        <f>IF((B386="")+(B386="Vacante")+(D386=""),"",IFERROR(MATCH(D386,{"Oficinas";"Locales";"Estacionamientos";"Bodegas"},0),5)&amp;"|"&amp;B386&amp;"|"&amp;TEXT(G386,"yyyymmdd")&amp;"|"&amp;TEXT(H386,"yyyymmdd"))</f>
        <v/>
      </c>
      <c r="AE386" s="4"/>
      <c r="AF386" s="4"/>
    </row>
    <row r="387" spans="1:32" x14ac:dyDescent="0.2">
      <c r="A387" s="5">
        <v>-7</v>
      </c>
      <c r="B387" s="6" t="s">
        <v>191</v>
      </c>
      <c r="C387" s="6" t="s">
        <v>29</v>
      </c>
      <c r="D387" s="6" t="s">
        <v>10</v>
      </c>
      <c r="E387" s="5">
        <v>7093</v>
      </c>
      <c r="G387" s="9">
        <v>46492</v>
      </c>
      <c r="H387" s="9">
        <v>47588</v>
      </c>
      <c r="I387" s="6" t="s">
        <v>2</v>
      </c>
      <c r="L387" s="18">
        <v>1</v>
      </c>
      <c r="M387" s="19">
        <v>4.3</v>
      </c>
      <c r="N387" s="18">
        <v>4.3</v>
      </c>
      <c r="T387" s="4"/>
      <c r="U387" s="4"/>
      <c r="V387" s="4"/>
      <c r="W387" s="4"/>
      <c r="X387" s="4"/>
      <c r="Y387" s="4"/>
      <c r="Z387" s="4"/>
      <c r="AA387" s="4"/>
      <c r="AD387" s="20" t="str">
        <f>IF((B387="")+(B387="Vacante")+(D387=""),"",IFERROR(MATCH(D387,{"Oficinas";"Locales";"Estacionamientos";"Bodegas"},0),5)&amp;"|"&amp;B387&amp;"|"&amp;TEXT(G387,"yyyymmdd")&amp;"|"&amp;TEXT(H387,"yyyymmdd"))</f>
        <v>3|SPENCER STUART|20270415|20300415</v>
      </c>
      <c r="AE387" s="4"/>
      <c r="AF387" s="4"/>
    </row>
    <row r="388" spans="1:32" x14ac:dyDescent="0.2">
      <c r="A388" s="5">
        <v>-7</v>
      </c>
      <c r="B388" s="6" t="s">
        <v>191</v>
      </c>
      <c r="C388" s="6" t="s">
        <v>29</v>
      </c>
      <c r="D388" s="6" t="s">
        <v>10</v>
      </c>
      <c r="E388" s="5">
        <v>7094</v>
      </c>
      <c r="G388" s="9">
        <v>46492</v>
      </c>
      <c r="H388" s="9">
        <v>47588</v>
      </c>
      <c r="I388" s="6" t="s">
        <v>2</v>
      </c>
      <c r="L388" s="18">
        <v>1</v>
      </c>
      <c r="M388" s="19">
        <v>4.3</v>
      </c>
      <c r="N388" s="18">
        <v>4.3</v>
      </c>
      <c r="T388" s="4"/>
      <c r="U388" s="4"/>
      <c r="V388" s="4"/>
      <c r="W388" s="4"/>
      <c r="X388" s="4"/>
      <c r="Y388" s="4"/>
      <c r="Z388" s="4"/>
      <c r="AA388" s="4"/>
      <c r="AD388" s="20" t="str">
        <f>IF((B388="")+(B388="Vacante")+(D388=""),"",IFERROR(MATCH(D388,{"Oficinas";"Locales";"Estacionamientos";"Bodegas"},0),5)&amp;"|"&amp;B388&amp;"|"&amp;TEXT(G388,"yyyymmdd")&amp;"|"&amp;TEXT(H388,"yyyymmdd"))</f>
        <v>3|SPENCER STUART|20270415|20300415</v>
      </c>
      <c r="AE388" s="4"/>
      <c r="AF388" s="4"/>
    </row>
    <row r="389" spans="1:32" x14ac:dyDescent="0.2">
      <c r="A389" s="5">
        <v>-7</v>
      </c>
      <c r="B389" s="6" t="s">
        <v>191</v>
      </c>
      <c r="C389" s="6" t="s">
        <v>29</v>
      </c>
      <c r="D389" s="6" t="s">
        <v>10</v>
      </c>
      <c r="E389" s="5">
        <v>7095</v>
      </c>
      <c r="G389" s="9">
        <v>46492</v>
      </c>
      <c r="H389" s="9">
        <v>47588</v>
      </c>
      <c r="I389" s="6" t="s">
        <v>2</v>
      </c>
      <c r="L389" s="18">
        <v>1</v>
      </c>
      <c r="M389" s="19">
        <v>4.3</v>
      </c>
      <c r="N389" s="18">
        <v>4.3</v>
      </c>
      <c r="T389" s="4"/>
      <c r="U389" s="4"/>
      <c r="V389" s="4"/>
      <c r="W389" s="4"/>
      <c r="X389" s="4"/>
      <c r="Y389" s="4"/>
      <c r="Z389" s="4"/>
      <c r="AA389" s="4"/>
      <c r="AD389" s="20" t="str">
        <f>IF((B389="")+(B389="Vacante")+(D389=""),"",IFERROR(MATCH(D389,{"Oficinas";"Locales";"Estacionamientos";"Bodegas"},0),5)&amp;"|"&amp;B389&amp;"|"&amp;TEXT(G389,"yyyymmdd")&amp;"|"&amp;TEXT(H389,"yyyymmdd"))</f>
        <v>3|SPENCER STUART|20270415|20300415</v>
      </c>
      <c r="AE389" s="4"/>
      <c r="AF389" s="4"/>
    </row>
    <row r="390" spans="1:32" x14ac:dyDescent="0.2">
      <c r="A390" s="5">
        <v>-7</v>
      </c>
      <c r="B390" s="6" t="s">
        <v>191</v>
      </c>
      <c r="C390" s="6" t="s">
        <v>29</v>
      </c>
      <c r="D390" s="6" t="s">
        <v>10</v>
      </c>
      <c r="E390" s="5">
        <v>7096</v>
      </c>
      <c r="G390" s="9">
        <v>46492</v>
      </c>
      <c r="H390" s="9">
        <v>47588</v>
      </c>
      <c r="I390" s="6" t="s">
        <v>2</v>
      </c>
      <c r="L390" s="18">
        <v>1</v>
      </c>
      <c r="M390" s="19">
        <v>4.3</v>
      </c>
      <c r="N390" s="18">
        <v>4.3</v>
      </c>
      <c r="T390" s="4"/>
      <c r="U390" s="4"/>
      <c r="V390" s="4"/>
      <c r="W390" s="4"/>
      <c r="X390" s="4"/>
      <c r="Y390" s="4"/>
      <c r="Z390" s="4"/>
      <c r="AA390" s="4"/>
      <c r="AD390" s="20" t="str">
        <f>IF((B390="")+(B390="Vacante")+(D390=""),"",IFERROR(MATCH(D390,{"Oficinas";"Locales";"Estacionamientos";"Bodegas"},0),5)&amp;"|"&amp;B390&amp;"|"&amp;TEXT(G390,"yyyymmdd")&amp;"|"&amp;TEXT(H390,"yyyymmdd"))</f>
        <v>3|SPENCER STUART|20270415|20300415</v>
      </c>
      <c r="AE390" s="4"/>
      <c r="AF390" s="4"/>
    </row>
    <row r="391" spans="1:32" x14ac:dyDescent="0.2">
      <c r="A391" s="5">
        <v>-7</v>
      </c>
      <c r="B391" s="6" t="s">
        <v>191</v>
      </c>
      <c r="C391" s="6" t="s">
        <v>29</v>
      </c>
      <c r="D391" s="6" t="s">
        <v>10</v>
      </c>
      <c r="E391" s="5">
        <v>7097</v>
      </c>
      <c r="G391" s="9">
        <v>46492</v>
      </c>
      <c r="H391" s="9">
        <v>47588</v>
      </c>
      <c r="I391" s="6" t="s">
        <v>2</v>
      </c>
      <c r="L391" s="18">
        <v>1</v>
      </c>
      <c r="M391" s="19">
        <v>4.3</v>
      </c>
      <c r="N391" s="18">
        <v>4.3</v>
      </c>
      <c r="T391" s="4"/>
      <c r="U391" s="4"/>
      <c r="V391" s="4"/>
      <c r="W391" s="4"/>
      <c r="X391" s="4"/>
      <c r="Y391" s="4"/>
      <c r="Z391" s="4"/>
      <c r="AA391" s="4"/>
      <c r="AD391" s="20" t="str">
        <f>IF((B391="")+(B391="Vacante")+(D391=""),"",IFERROR(MATCH(D391,{"Oficinas";"Locales";"Estacionamientos";"Bodegas"},0),5)&amp;"|"&amp;B391&amp;"|"&amp;TEXT(G391,"yyyymmdd")&amp;"|"&amp;TEXT(H391,"yyyymmdd"))</f>
        <v>3|SPENCER STUART|20270415|20300415</v>
      </c>
      <c r="AE391" s="4"/>
      <c r="AF391" s="4"/>
    </row>
    <row r="392" spans="1:32" x14ac:dyDescent="0.2">
      <c r="A392" s="5">
        <v>-7</v>
      </c>
      <c r="B392" s="6" t="s">
        <v>191</v>
      </c>
      <c r="C392" s="6" t="s">
        <v>29</v>
      </c>
      <c r="D392" s="6" t="s">
        <v>10</v>
      </c>
      <c r="E392" s="5">
        <v>7098</v>
      </c>
      <c r="G392" s="9">
        <v>46492</v>
      </c>
      <c r="H392" s="9">
        <v>47588</v>
      </c>
      <c r="I392" s="6" t="s">
        <v>2</v>
      </c>
      <c r="L392" s="18">
        <v>1</v>
      </c>
      <c r="M392" s="19">
        <v>4.3</v>
      </c>
      <c r="N392" s="18">
        <v>4.3</v>
      </c>
      <c r="T392" s="4"/>
      <c r="U392" s="4"/>
      <c r="V392" s="4"/>
      <c r="W392" s="4"/>
      <c r="X392" s="4"/>
      <c r="Y392" s="4"/>
      <c r="Z392" s="4"/>
      <c r="AA392" s="4"/>
      <c r="AD392" s="20" t="str">
        <f>IF((B392="")+(B392="Vacante")+(D392=""),"",IFERROR(MATCH(D392,{"Oficinas";"Locales";"Estacionamientos";"Bodegas"},0),5)&amp;"|"&amp;B392&amp;"|"&amp;TEXT(G392,"yyyymmdd")&amp;"|"&amp;TEXT(H392,"yyyymmdd"))</f>
        <v>3|SPENCER STUART|20270415|20300415</v>
      </c>
      <c r="AE392" s="4"/>
      <c r="AF392" s="4"/>
    </row>
    <row r="393" spans="1:32" x14ac:dyDescent="0.2">
      <c r="A393" s="5">
        <v>-7</v>
      </c>
      <c r="B393" s="6" t="s">
        <v>206</v>
      </c>
      <c r="C393" s="6" t="s">
        <v>71</v>
      </c>
      <c r="D393" s="6" t="s">
        <v>10</v>
      </c>
      <c r="E393" s="5">
        <v>7099</v>
      </c>
      <c r="G393" s="9">
        <v>45716</v>
      </c>
      <c r="H393" s="9">
        <v>46446</v>
      </c>
      <c r="I393" s="6" t="s">
        <v>2</v>
      </c>
      <c r="L393" s="18">
        <v>1</v>
      </c>
      <c r="M393" s="19">
        <v>4</v>
      </c>
      <c r="N393" s="18">
        <v>4</v>
      </c>
      <c r="T393" s="4"/>
      <c r="U393" s="4"/>
      <c r="V393" s="4"/>
      <c r="W393" s="4"/>
      <c r="X393" s="4"/>
      <c r="Y393" s="4"/>
      <c r="Z393" s="4"/>
      <c r="AA393" s="4"/>
      <c r="AD393" s="20" t="str">
        <f>IF((B393="")+(B393="Vacante")+(D393=""),"",IFERROR(MATCH(D393,{"Oficinas";"Locales";"Estacionamientos";"Bodegas"},0),5)&amp;"|"&amp;B393&amp;"|"&amp;TEXT(G393,"yyyymmdd")&amp;"|"&amp;TEXT(H393,"yyyymmdd"))</f>
        <v>3|TATTERSAL|20250228|20270228</v>
      </c>
      <c r="AE393" s="4"/>
      <c r="AF393" s="4"/>
    </row>
    <row r="394" spans="1:32" x14ac:dyDescent="0.2">
      <c r="A394" s="5">
        <v>-7</v>
      </c>
      <c r="B394" s="6" t="s">
        <v>206</v>
      </c>
      <c r="C394" s="6" t="s">
        <v>71</v>
      </c>
      <c r="D394" s="6" t="s">
        <v>10</v>
      </c>
      <c r="E394" s="5">
        <v>7100</v>
      </c>
      <c r="G394" s="9">
        <v>45716</v>
      </c>
      <c r="H394" s="9">
        <v>46446</v>
      </c>
      <c r="I394" s="6" t="s">
        <v>2</v>
      </c>
      <c r="L394" s="18">
        <v>1</v>
      </c>
      <c r="M394" s="19">
        <v>4</v>
      </c>
      <c r="N394" s="18">
        <v>4</v>
      </c>
      <c r="T394" s="4"/>
      <c r="U394" s="4"/>
      <c r="V394" s="4"/>
      <c r="W394" s="4"/>
      <c r="X394" s="4"/>
      <c r="Y394" s="4"/>
      <c r="Z394" s="4"/>
      <c r="AA394" s="4"/>
      <c r="AD394" s="20" t="str">
        <f>IF((B394="")+(B394="Vacante")+(D394=""),"",IFERROR(MATCH(D394,{"Oficinas";"Locales";"Estacionamientos";"Bodegas"},0),5)&amp;"|"&amp;B394&amp;"|"&amp;TEXT(G394,"yyyymmdd")&amp;"|"&amp;TEXT(H394,"yyyymmdd"))</f>
        <v>3|TATTERSAL|20250228|20270228</v>
      </c>
      <c r="AE394" s="4"/>
      <c r="AF394" s="4"/>
    </row>
    <row r="395" spans="1:32" x14ac:dyDescent="0.2">
      <c r="A395" s="5">
        <v>-7</v>
      </c>
      <c r="B395" s="6" t="s">
        <v>206</v>
      </c>
      <c r="C395" s="6" t="s">
        <v>71</v>
      </c>
      <c r="D395" s="6" t="s">
        <v>10</v>
      </c>
      <c r="E395" s="5">
        <v>7101</v>
      </c>
      <c r="G395" s="9">
        <v>45716</v>
      </c>
      <c r="H395" s="9">
        <v>46446</v>
      </c>
      <c r="I395" s="6" t="s">
        <v>2</v>
      </c>
      <c r="L395" s="18">
        <v>1</v>
      </c>
      <c r="M395" s="19">
        <v>4</v>
      </c>
      <c r="N395" s="18">
        <v>4</v>
      </c>
      <c r="T395" s="4"/>
      <c r="U395" s="4"/>
      <c r="V395" s="4"/>
      <c r="W395" s="4"/>
      <c r="X395" s="4"/>
      <c r="Y395" s="4"/>
      <c r="Z395" s="4"/>
      <c r="AA395" s="4"/>
      <c r="AD395" s="20" t="str">
        <f>IF((B795="")+(B795="Vacante")+(D795=""),"",IFERROR(MATCH(D795,{"Oficinas";"Locales";"Estacionamientos";"Bodegas"},0),5)&amp;"|"&amp;B795&amp;"|"&amp;TEXT(G795,"yyyymmdd")&amp;"|"&amp;TEXT(H795,"yyyymmdd"))</f>
        <v/>
      </c>
      <c r="AE395" s="4"/>
      <c r="AF395" s="4"/>
    </row>
    <row r="396" spans="1:32" x14ac:dyDescent="0.2">
      <c r="A396" s="5">
        <v>-7</v>
      </c>
      <c r="B396" s="6" t="s">
        <v>206</v>
      </c>
      <c r="C396" s="6" t="s">
        <v>71</v>
      </c>
      <c r="D396" s="6" t="s">
        <v>10</v>
      </c>
      <c r="E396" s="5">
        <v>7102</v>
      </c>
      <c r="G396" s="9">
        <v>45716</v>
      </c>
      <c r="H396" s="9">
        <v>46446</v>
      </c>
      <c r="I396" s="6" t="s">
        <v>2</v>
      </c>
      <c r="L396" s="18">
        <v>1</v>
      </c>
      <c r="M396" s="19">
        <v>4</v>
      </c>
      <c r="N396" s="18">
        <v>4</v>
      </c>
      <c r="T396" s="4"/>
      <c r="U396" s="4"/>
      <c r="V396" s="4"/>
      <c r="W396" s="4"/>
      <c r="X396" s="4"/>
      <c r="Y396" s="4"/>
      <c r="Z396" s="4"/>
      <c r="AA396" s="4"/>
      <c r="AD396" s="20" t="str">
        <f>IF((B396="")+(B396="Vacante")+(D396=""),"",IFERROR(MATCH(D396,{"Oficinas";"Locales";"Estacionamientos";"Bodegas"},0),5)&amp;"|"&amp;B396&amp;"|"&amp;TEXT(G396,"yyyymmdd")&amp;"|"&amp;TEXT(H396,"yyyymmdd"))</f>
        <v>3|TATTERSAL|20250228|20270228</v>
      </c>
      <c r="AE396" s="4"/>
      <c r="AF396" s="4"/>
    </row>
    <row r="397" spans="1:32" x14ac:dyDescent="0.2">
      <c r="A397" s="5">
        <v>-7</v>
      </c>
      <c r="B397" s="6" t="s">
        <v>4</v>
      </c>
      <c r="C397" s="6" t="s">
        <v>4</v>
      </c>
      <c r="D397" s="6" t="s">
        <v>10</v>
      </c>
      <c r="E397" s="5">
        <v>7103</v>
      </c>
      <c r="G397" s="9" t="s">
        <v>9</v>
      </c>
      <c r="H397" s="9" t="s">
        <v>9</v>
      </c>
      <c r="I397" s="6" t="s">
        <v>2</v>
      </c>
      <c r="L397" s="18">
        <v>1</v>
      </c>
      <c r="M397" s="19">
        <v>0</v>
      </c>
      <c r="N397" s="18">
        <v>0</v>
      </c>
      <c r="T397" s="4"/>
      <c r="U397" s="4"/>
      <c r="V397" s="4"/>
      <c r="W397" s="4"/>
      <c r="X397" s="4"/>
      <c r="Y397" s="4"/>
      <c r="Z397" s="4"/>
      <c r="AA397" s="4"/>
      <c r="AD397" s="20" t="str">
        <f>IF((B397="")+(B397="Vacante")+(D397=""),"",IFERROR(MATCH(D397,{"Oficinas";"Locales";"Estacionamientos";"Bodegas"},0),5)&amp;"|"&amp;B397&amp;"|"&amp;TEXT(G397,"yyyymmdd")&amp;"|"&amp;TEXT(H397,"yyyymmdd"))</f>
        <v/>
      </c>
      <c r="AE397" s="4"/>
      <c r="AF397" s="4"/>
    </row>
    <row r="398" spans="1:32" x14ac:dyDescent="0.2">
      <c r="A398" s="5">
        <v>-7</v>
      </c>
      <c r="B398" s="6" t="s">
        <v>194</v>
      </c>
      <c r="C398" s="6" t="s">
        <v>22</v>
      </c>
      <c r="D398" s="6" t="s">
        <v>10</v>
      </c>
      <c r="E398" s="5">
        <v>7104</v>
      </c>
      <c r="G398" s="9">
        <v>46023</v>
      </c>
      <c r="H398" s="9">
        <v>46568</v>
      </c>
      <c r="I398" s="6" t="s">
        <v>2</v>
      </c>
      <c r="L398" s="18">
        <v>1</v>
      </c>
      <c r="M398" s="19">
        <v>4.3</v>
      </c>
      <c r="N398" s="18">
        <v>4.3</v>
      </c>
      <c r="T398" s="4"/>
      <c r="U398" s="4"/>
      <c r="V398" s="4"/>
      <c r="W398" s="4"/>
      <c r="X398" s="4"/>
      <c r="Y398" s="4"/>
      <c r="Z398" s="4"/>
      <c r="AA398" s="4"/>
      <c r="AD398" s="20" t="str">
        <f>IF((B398="")+(B398="Vacante")+(D398=""),"",IFERROR(MATCH(D398,{"Oficinas";"Locales";"Estacionamientos";"Bodegas"},0),5)&amp;"|"&amp;B398&amp;"|"&amp;TEXT(G398,"yyyymmdd")&amp;"|"&amp;TEXT(H398,"yyyymmdd"))</f>
        <v>3|BLACK ROCK |20260101|20270630</v>
      </c>
      <c r="AE398" s="4"/>
      <c r="AF398" s="4"/>
    </row>
    <row r="399" spans="1:32" x14ac:dyDescent="0.2">
      <c r="A399" s="5">
        <v>-7</v>
      </c>
      <c r="B399" s="6" t="s">
        <v>194</v>
      </c>
      <c r="C399" s="6" t="s">
        <v>22</v>
      </c>
      <c r="D399" s="6" t="s">
        <v>10</v>
      </c>
      <c r="E399" s="5">
        <v>7105</v>
      </c>
      <c r="G399" s="9">
        <v>46023</v>
      </c>
      <c r="H399" s="9">
        <v>46568</v>
      </c>
      <c r="I399" s="6" t="s">
        <v>2</v>
      </c>
      <c r="L399" s="18">
        <v>1</v>
      </c>
      <c r="M399" s="19">
        <v>4.3</v>
      </c>
      <c r="N399" s="18">
        <v>4.3</v>
      </c>
      <c r="T399" s="4"/>
      <c r="U399" s="4"/>
      <c r="V399" s="4"/>
      <c r="W399" s="4"/>
      <c r="X399" s="4"/>
      <c r="Y399" s="4"/>
      <c r="Z399" s="4"/>
      <c r="AA399" s="4"/>
      <c r="AD399" s="20" t="str">
        <f>IF((B399="")+(B399="Vacante")+(D399=""),"",IFERROR(MATCH(D399,{"Oficinas";"Locales";"Estacionamientos";"Bodegas"},0),5)&amp;"|"&amp;B399&amp;"|"&amp;TEXT(G399,"yyyymmdd")&amp;"|"&amp;TEXT(H399,"yyyymmdd"))</f>
        <v>3|BLACK ROCK |20260101|20270630</v>
      </c>
      <c r="AE399" s="4"/>
      <c r="AF399" s="4"/>
    </row>
    <row r="400" spans="1:32" x14ac:dyDescent="0.2">
      <c r="A400" s="5">
        <v>-7</v>
      </c>
      <c r="B400" s="6" t="s">
        <v>194</v>
      </c>
      <c r="C400" s="6" t="s">
        <v>22</v>
      </c>
      <c r="D400" s="6" t="s">
        <v>10</v>
      </c>
      <c r="E400" s="5">
        <v>7106</v>
      </c>
      <c r="G400" s="9">
        <v>46023</v>
      </c>
      <c r="H400" s="9">
        <v>46568</v>
      </c>
      <c r="I400" s="6" t="s">
        <v>2</v>
      </c>
      <c r="L400" s="18">
        <v>1</v>
      </c>
      <c r="M400" s="19">
        <v>4.3</v>
      </c>
      <c r="N400" s="18">
        <v>4.3</v>
      </c>
      <c r="T400" s="4"/>
      <c r="U400" s="4"/>
      <c r="V400" s="4"/>
      <c r="W400" s="4"/>
      <c r="X400" s="4"/>
      <c r="Y400" s="4"/>
      <c r="Z400" s="4"/>
      <c r="AA400" s="4"/>
      <c r="AD400" s="20" t="str">
        <f>IF((B400="")+(B400="Vacante")+(D400=""),"",IFERROR(MATCH(D400,{"Oficinas";"Locales";"Estacionamientos";"Bodegas"},0),5)&amp;"|"&amp;B400&amp;"|"&amp;TEXT(G400,"yyyymmdd")&amp;"|"&amp;TEXT(H400,"yyyymmdd"))</f>
        <v>3|BLACK ROCK |20260101|20270630</v>
      </c>
      <c r="AE400" s="4"/>
      <c r="AF400" s="4"/>
    </row>
    <row r="401" spans="1:32" x14ac:dyDescent="0.2">
      <c r="A401" s="5">
        <v>-7</v>
      </c>
      <c r="B401" s="6" t="s">
        <v>194</v>
      </c>
      <c r="C401" s="6" t="s">
        <v>22</v>
      </c>
      <c r="D401" s="6" t="s">
        <v>10</v>
      </c>
      <c r="E401" s="5">
        <v>7107</v>
      </c>
      <c r="G401" s="9">
        <v>46023</v>
      </c>
      <c r="H401" s="9">
        <v>46568</v>
      </c>
      <c r="I401" s="6" t="s">
        <v>2</v>
      </c>
      <c r="L401" s="18">
        <v>1</v>
      </c>
      <c r="M401" s="19">
        <v>4.3</v>
      </c>
      <c r="N401" s="18">
        <v>4.3</v>
      </c>
      <c r="T401" s="4"/>
      <c r="U401" s="4"/>
      <c r="V401" s="4"/>
      <c r="W401" s="4"/>
      <c r="X401" s="4"/>
      <c r="Y401" s="4"/>
      <c r="Z401" s="4"/>
      <c r="AA401" s="4"/>
      <c r="AD401" s="20" t="str">
        <f>IF((B401="")+(B401="Vacante")+(D401=""),"",IFERROR(MATCH(D401,{"Oficinas";"Locales";"Estacionamientos";"Bodegas"},0),5)&amp;"|"&amp;B401&amp;"|"&amp;TEXT(G401,"yyyymmdd")&amp;"|"&amp;TEXT(H401,"yyyymmdd"))</f>
        <v>3|BLACK ROCK |20260101|20270630</v>
      </c>
      <c r="AE401" s="4"/>
      <c r="AF401" s="4"/>
    </row>
    <row r="402" spans="1:32" x14ac:dyDescent="0.2">
      <c r="A402" s="5">
        <v>-7</v>
      </c>
      <c r="B402" s="6" t="s">
        <v>194</v>
      </c>
      <c r="C402" s="6" t="s">
        <v>22</v>
      </c>
      <c r="D402" s="6" t="s">
        <v>10</v>
      </c>
      <c r="E402" s="5">
        <v>7108</v>
      </c>
      <c r="G402" s="9">
        <v>46023</v>
      </c>
      <c r="H402" s="9">
        <v>46568</v>
      </c>
      <c r="I402" s="6" t="s">
        <v>2</v>
      </c>
      <c r="L402" s="18">
        <v>1</v>
      </c>
      <c r="M402" s="19">
        <v>4.3</v>
      </c>
      <c r="N402" s="18">
        <v>4.3</v>
      </c>
      <c r="T402" s="4"/>
      <c r="U402" s="4"/>
      <c r="V402" s="4"/>
      <c r="W402" s="4"/>
      <c r="X402" s="4"/>
      <c r="Y402" s="4"/>
      <c r="Z402" s="4"/>
      <c r="AA402" s="4"/>
      <c r="AD402" s="20" t="str">
        <f>IF((B402="")+(B402="Vacante")+(D402=""),"",IFERROR(MATCH(D402,{"Oficinas";"Locales";"Estacionamientos";"Bodegas"},0),5)&amp;"|"&amp;B402&amp;"|"&amp;TEXT(G402,"yyyymmdd")&amp;"|"&amp;TEXT(H402,"yyyymmdd"))</f>
        <v>3|BLACK ROCK |20260101|20270630</v>
      </c>
      <c r="AE402" s="4"/>
      <c r="AF402" s="4"/>
    </row>
    <row r="403" spans="1:32" x14ac:dyDescent="0.2">
      <c r="A403" s="5">
        <v>-7</v>
      </c>
      <c r="B403" s="6" t="s">
        <v>194</v>
      </c>
      <c r="C403" s="6" t="s">
        <v>22</v>
      </c>
      <c r="D403" s="6" t="s">
        <v>10</v>
      </c>
      <c r="E403" s="5">
        <v>7109</v>
      </c>
      <c r="G403" s="9">
        <v>46023</v>
      </c>
      <c r="H403" s="9">
        <v>46568</v>
      </c>
      <c r="I403" s="6" t="s">
        <v>2</v>
      </c>
      <c r="L403" s="18">
        <v>1</v>
      </c>
      <c r="M403" s="19">
        <v>4.3</v>
      </c>
      <c r="N403" s="18">
        <v>4.3</v>
      </c>
      <c r="T403" s="4"/>
      <c r="U403" s="4"/>
      <c r="V403" s="4"/>
      <c r="W403" s="4"/>
      <c r="X403" s="4"/>
      <c r="Y403" s="4"/>
      <c r="Z403" s="4"/>
      <c r="AA403" s="4"/>
      <c r="AD403" s="20" t="str">
        <f>IF((B403="")+(B403="Vacante")+(D403=""),"",IFERROR(MATCH(D403,{"Oficinas";"Locales";"Estacionamientos";"Bodegas"},0),5)&amp;"|"&amp;B403&amp;"|"&amp;TEXT(G403,"yyyymmdd")&amp;"|"&amp;TEXT(H403,"yyyymmdd"))</f>
        <v>3|BLACK ROCK |20260101|20270630</v>
      </c>
      <c r="AE403" s="4"/>
      <c r="AF403" s="4"/>
    </row>
    <row r="404" spans="1:32" x14ac:dyDescent="0.2">
      <c r="A404" s="5">
        <v>-7</v>
      </c>
      <c r="B404" s="6" t="s">
        <v>194</v>
      </c>
      <c r="C404" s="6" t="s">
        <v>22</v>
      </c>
      <c r="D404" s="6" t="s">
        <v>10</v>
      </c>
      <c r="E404" s="5">
        <v>7110</v>
      </c>
      <c r="G404" s="9">
        <v>46023</v>
      </c>
      <c r="H404" s="9">
        <v>46568</v>
      </c>
      <c r="I404" s="6" t="s">
        <v>2</v>
      </c>
      <c r="L404" s="18">
        <v>1</v>
      </c>
      <c r="M404" s="19">
        <v>4.3</v>
      </c>
      <c r="N404" s="18">
        <v>4.3</v>
      </c>
      <c r="T404" s="4"/>
      <c r="U404" s="4"/>
      <c r="V404" s="4"/>
      <c r="W404" s="4"/>
      <c r="X404" s="4"/>
      <c r="Y404" s="4"/>
      <c r="Z404" s="4"/>
      <c r="AA404" s="4"/>
      <c r="AD404" s="20" t="str">
        <f>IF((B404="")+(B404="Vacante")+(D404=""),"",IFERROR(MATCH(D404,{"Oficinas";"Locales";"Estacionamientos";"Bodegas"},0),5)&amp;"|"&amp;B404&amp;"|"&amp;TEXT(G404,"yyyymmdd")&amp;"|"&amp;TEXT(H404,"yyyymmdd"))</f>
        <v>3|BLACK ROCK |20260101|20270630</v>
      </c>
      <c r="AE404" s="4"/>
      <c r="AF404" s="4"/>
    </row>
    <row r="405" spans="1:32" x14ac:dyDescent="0.2">
      <c r="A405" s="5">
        <v>-7</v>
      </c>
      <c r="B405" s="6" t="s">
        <v>194</v>
      </c>
      <c r="C405" s="6" t="s">
        <v>22</v>
      </c>
      <c r="D405" s="6" t="s">
        <v>10</v>
      </c>
      <c r="E405" s="5">
        <v>7111</v>
      </c>
      <c r="G405" s="9">
        <v>46023</v>
      </c>
      <c r="H405" s="9">
        <v>46568</v>
      </c>
      <c r="I405" s="6" t="s">
        <v>2</v>
      </c>
      <c r="L405" s="18">
        <v>1</v>
      </c>
      <c r="M405" s="19">
        <v>4.3</v>
      </c>
      <c r="N405" s="18">
        <v>4.3</v>
      </c>
      <c r="T405" s="4"/>
      <c r="U405" s="4"/>
      <c r="V405" s="4"/>
      <c r="W405" s="4"/>
      <c r="X405" s="4"/>
      <c r="Y405" s="4"/>
      <c r="Z405" s="4"/>
      <c r="AA405" s="4"/>
      <c r="AD405" s="20" t="str">
        <f>IF((B405="")+(B405="Vacante")+(D405=""),"",IFERROR(MATCH(D405,{"Oficinas";"Locales";"Estacionamientos";"Bodegas"},0),5)&amp;"|"&amp;B405&amp;"|"&amp;TEXT(G405,"yyyymmdd")&amp;"|"&amp;TEXT(H405,"yyyymmdd"))</f>
        <v>3|BLACK ROCK |20260101|20270630</v>
      </c>
      <c r="AE405" s="4"/>
      <c r="AF405" s="4"/>
    </row>
    <row r="406" spans="1:32" x14ac:dyDescent="0.2">
      <c r="A406" s="5">
        <v>-7</v>
      </c>
      <c r="B406" s="6" t="s">
        <v>194</v>
      </c>
      <c r="C406" s="6" t="s">
        <v>22</v>
      </c>
      <c r="D406" s="6" t="s">
        <v>10</v>
      </c>
      <c r="E406" s="5">
        <v>7112</v>
      </c>
      <c r="G406" s="9">
        <v>46023</v>
      </c>
      <c r="H406" s="9">
        <v>46568</v>
      </c>
      <c r="I406" s="6" t="s">
        <v>2</v>
      </c>
      <c r="L406" s="18">
        <v>1</v>
      </c>
      <c r="M406" s="19">
        <v>4.3</v>
      </c>
      <c r="N406" s="18">
        <v>4.3</v>
      </c>
      <c r="T406" s="4"/>
      <c r="U406" s="4"/>
      <c r="V406" s="4"/>
      <c r="W406" s="4"/>
      <c r="X406" s="4"/>
      <c r="Y406" s="4"/>
      <c r="Z406" s="4"/>
      <c r="AA406" s="4"/>
      <c r="AD406" s="20" t="str">
        <f>IF((B406="")+(B406="Vacante")+(D406=""),"",IFERROR(MATCH(D406,{"Oficinas";"Locales";"Estacionamientos";"Bodegas"},0),5)&amp;"|"&amp;B406&amp;"|"&amp;TEXT(G406,"yyyymmdd")&amp;"|"&amp;TEXT(H406,"yyyymmdd"))</f>
        <v>3|BLACK ROCK |20260101|20270630</v>
      </c>
      <c r="AE406" s="4"/>
      <c r="AF406" s="4"/>
    </row>
    <row r="407" spans="1:32" x14ac:dyDescent="0.2">
      <c r="A407" s="5">
        <v>-7</v>
      </c>
      <c r="B407" s="6" t="s">
        <v>183</v>
      </c>
      <c r="C407" s="6" t="s">
        <v>42</v>
      </c>
      <c r="D407" s="6" t="s">
        <v>10</v>
      </c>
      <c r="E407" s="5">
        <v>7113</v>
      </c>
      <c r="G407" s="9" t="s">
        <v>9</v>
      </c>
      <c r="H407" s="9">
        <v>47087</v>
      </c>
      <c r="I407" s="6" t="s">
        <v>2</v>
      </c>
      <c r="L407" s="18">
        <v>1</v>
      </c>
      <c r="M407" s="19">
        <v>4.3</v>
      </c>
      <c r="N407" s="18">
        <v>4.3</v>
      </c>
      <c r="T407" s="4"/>
      <c r="U407" s="4"/>
      <c r="V407" s="4"/>
      <c r="W407" s="4"/>
      <c r="X407" s="4"/>
      <c r="Y407" s="4"/>
      <c r="Z407" s="4"/>
      <c r="AA407" s="4"/>
      <c r="AD407" s="20" t="str">
        <f>IF((B407="")+(B407="Vacante")+(D407=""),"",IFERROR(MATCH(D407,{"Oficinas";"Locales";"Estacionamientos";"Bodegas"},0),5)&amp;"|"&amp;B407&amp;"|"&amp;TEXT(G407,"yyyymmdd")&amp;"|"&amp;TEXT(H407,"yyyymmdd"))</f>
        <v>3|RED ELECTRICA |-|20281130</v>
      </c>
      <c r="AE407" s="4"/>
      <c r="AF407" s="4"/>
    </row>
    <row r="408" spans="1:32" x14ac:dyDescent="0.2">
      <c r="A408" s="5">
        <v>-7</v>
      </c>
      <c r="B408" s="6" t="s">
        <v>184</v>
      </c>
      <c r="C408" s="6" t="s">
        <v>36</v>
      </c>
      <c r="D408" s="6" t="s">
        <v>10</v>
      </c>
      <c r="E408" s="5">
        <v>7114</v>
      </c>
      <c r="G408" s="9" t="s">
        <v>9</v>
      </c>
      <c r="H408" s="9">
        <v>46222</v>
      </c>
      <c r="I408" s="6" t="s">
        <v>2</v>
      </c>
      <c r="L408" s="18">
        <v>1</v>
      </c>
      <c r="M408" s="19">
        <v>3.5</v>
      </c>
      <c r="N408" s="18">
        <v>3.5</v>
      </c>
      <c r="T408" s="4"/>
      <c r="U408" s="4"/>
      <c r="V408" s="4"/>
      <c r="W408" s="4"/>
      <c r="X408" s="4"/>
      <c r="Y408" s="4"/>
      <c r="Z408" s="4"/>
      <c r="AA408" s="4"/>
      <c r="AD408" s="20" t="str">
        <f>IF((B408="")+(B408="Vacante")+(D408=""),"",IFERROR(MATCH(D408,{"Oficinas";"Locales";"Estacionamientos";"Bodegas"},0),5)&amp;"|"&amp;B408&amp;"|"&amp;TEXT(G408,"yyyymmdd")&amp;"|"&amp;TEXT(H408,"yyyymmdd"))</f>
        <v>3|DEVON|-|20260719</v>
      </c>
      <c r="AE408" s="4"/>
      <c r="AF408" s="4"/>
    </row>
    <row r="409" spans="1:32" x14ac:dyDescent="0.2">
      <c r="A409" s="5">
        <v>-7</v>
      </c>
      <c r="B409" s="6" t="s">
        <v>191</v>
      </c>
      <c r="C409" s="6" t="s">
        <v>29</v>
      </c>
      <c r="D409" s="6" t="s">
        <v>10</v>
      </c>
      <c r="E409" s="5">
        <v>7115</v>
      </c>
      <c r="G409" s="9">
        <v>46492</v>
      </c>
      <c r="H409" s="9">
        <v>47588</v>
      </c>
      <c r="I409" s="6" t="s">
        <v>2</v>
      </c>
      <c r="L409" s="18">
        <v>1</v>
      </c>
      <c r="M409" s="19">
        <v>4.3</v>
      </c>
      <c r="N409" s="18">
        <v>4.3</v>
      </c>
      <c r="T409" s="4"/>
      <c r="U409" s="4"/>
      <c r="V409" s="4"/>
      <c r="W409" s="4"/>
      <c r="X409" s="4"/>
      <c r="Y409" s="4"/>
      <c r="Z409" s="4"/>
      <c r="AA409" s="4"/>
      <c r="AD409" s="20" t="str">
        <f>IF((B409="")+(B409="Vacante")+(D409=""),"",IFERROR(MATCH(D409,{"Oficinas";"Locales";"Estacionamientos";"Bodegas"},0),5)&amp;"|"&amp;B409&amp;"|"&amp;TEXT(G409,"yyyymmdd")&amp;"|"&amp;TEXT(H409,"yyyymmdd"))</f>
        <v>3|SPENCER STUART|20270415|20300415</v>
      </c>
      <c r="AE409" s="4"/>
      <c r="AF409" s="4"/>
    </row>
    <row r="410" spans="1:32" x14ac:dyDescent="0.2">
      <c r="A410" s="5">
        <v>-7</v>
      </c>
      <c r="B410" s="6" t="s">
        <v>191</v>
      </c>
      <c r="C410" s="6" t="s">
        <v>29</v>
      </c>
      <c r="D410" s="6" t="s">
        <v>10</v>
      </c>
      <c r="E410" s="5">
        <v>7116</v>
      </c>
      <c r="G410" s="9">
        <v>46492</v>
      </c>
      <c r="H410" s="9">
        <v>47588</v>
      </c>
      <c r="I410" s="6" t="s">
        <v>2</v>
      </c>
      <c r="L410" s="18">
        <v>1</v>
      </c>
      <c r="M410" s="19">
        <v>4.3</v>
      </c>
      <c r="N410" s="18">
        <v>4.3</v>
      </c>
      <c r="T410" s="4"/>
      <c r="U410" s="4"/>
      <c r="V410" s="4"/>
      <c r="W410" s="4"/>
      <c r="X410" s="4"/>
      <c r="Y410" s="4"/>
      <c r="Z410" s="4"/>
      <c r="AA410" s="4"/>
      <c r="AD410" s="20" t="str">
        <f>IF((B410="")+(B410="Vacante")+(D410=""),"",IFERROR(MATCH(D410,{"Oficinas";"Locales";"Estacionamientos";"Bodegas"},0),5)&amp;"|"&amp;B410&amp;"|"&amp;TEXT(G410,"yyyymmdd")&amp;"|"&amp;TEXT(H410,"yyyymmdd"))</f>
        <v>3|SPENCER STUART|20270415|20300415</v>
      </c>
      <c r="AE410" s="4"/>
      <c r="AF410" s="4"/>
    </row>
    <row r="411" spans="1:32" x14ac:dyDescent="0.2">
      <c r="A411" s="5">
        <v>-7</v>
      </c>
      <c r="B411" s="6" t="s">
        <v>191</v>
      </c>
      <c r="C411" s="6" t="s">
        <v>29</v>
      </c>
      <c r="D411" s="6" t="s">
        <v>10</v>
      </c>
      <c r="E411" s="5">
        <v>7117</v>
      </c>
      <c r="G411" s="9">
        <v>46492</v>
      </c>
      <c r="H411" s="9">
        <v>47588</v>
      </c>
      <c r="I411" s="6" t="s">
        <v>2</v>
      </c>
      <c r="L411" s="18">
        <v>1</v>
      </c>
      <c r="M411" s="19">
        <v>4.3</v>
      </c>
      <c r="N411" s="18">
        <v>4.3</v>
      </c>
      <c r="T411" s="4"/>
      <c r="U411" s="4"/>
      <c r="V411" s="4"/>
      <c r="W411" s="4"/>
      <c r="X411" s="4"/>
      <c r="Y411" s="4"/>
      <c r="Z411" s="4"/>
      <c r="AA411" s="4"/>
      <c r="AD411" s="20" t="str">
        <f>IF((B411="")+(B411="Vacante")+(D411=""),"",IFERROR(MATCH(D411,{"Oficinas";"Locales";"Estacionamientos";"Bodegas"},0),5)&amp;"|"&amp;B411&amp;"|"&amp;TEXT(G411,"yyyymmdd")&amp;"|"&amp;TEXT(H411,"yyyymmdd"))</f>
        <v>3|SPENCER STUART|20270415|20300415</v>
      </c>
      <c r="AE411" s="4"/>
      <c r="AF411" s="4"/>
    </row>
    <row r="412" spans="1:32" x14ac:dyDescent="0.2">
      <c r="A412" s="5">
        <v>-7</v>
      </c>
      <c r="B412" s="6" t="s">
        <v>207</v>
      </c>
      <c r="C412" s="6" t="s">
        <v>48</v>
      </c>
      <c r="D412" s="6" t="s">
        <v>10</v>
      </c>
      <c r="E412" s="5">
        <v>7118</v>
      </c>
      <c r="F412" s="6" t="s">
        <v>104</v>
      </c>
      <c r="G412" s="9" t="s">
        <v>9</v>
      </c>
      <c r="H412" s="9">
        <v>47425</v>
      </c>
      <c r="I412" s="6" t="s">
        <v>2</v>
      </c>
      <c r="L412" s="18">
        <v>1</v>
      </c>
      <c r="M412" s="19">
        <v>6.72</v>
      </c>
      <c r="N412" s="18">
        <v>6.72</v>
      </c>
      <c r="T412" s="4"/>
      <c r="U412" s="4"/>
      <c r="V412" s="4"/>
      <c r="W412" s="4"/>
      <c r="X412" s="4"/>
      <c r="Y412" s="4"/>
      <c r="Z412" s="4"/>
      <c r="AA412" s="4"/>
      <c r="AD412" s="20" t="str">
        <f>IF((B412="")+(B412="Vacante")+(D412=""),"",IFERROR(MATCH(D412,{"Oficinas";"Locales";"Estacionamientos";"Bodegas"},0),5)&amp;"|"&amp;B412&amp;"|"&amp;TEXT(G412,"yyyymmdd")&amp;"|"&amp;TEXT(H412,"yyyymmdd"))</f>
        <v>3|BIORITMO|-|20291103</v>
      </c>
      <c r="AE412" s="4"/>
      <c r="AF412" s="4"/>
    </row>
    <row r="413" spans="1:32" x14ac:dyDescent="0.2">
      <c r="A413" s="5">
        <v>-7</v>
      </c>
      <c r="B413" s="6" t="s">
        <v>207</v>
      </c>
      <c r="C413" s="6" t="s">
        <v>48</v>
      </c>
      <c r="D413" s="6" t="s">
        <v>10</v>
      </c>
      <c r="E413" s="5">
        <v>7119</v>
      </c>
      <c r="F413" s="6" t="s">
        <v>104</v>
      </c>
      <c r="G413" s="9" t="s">
        <v>9</v>
      </c>
      <c r="H413" s="9">
        <v>47425</v>
      </c>
      <c r="I413" s="6" t="s">
        <v>2</v>
      </c>
      <c r="L413" s="18">
        <v>1</v>
      </c>
      <c r="M413" s="19">
        <v>6.72</v>
      </c>
      <c r="N413" s="18">
        <v>6.72</v>
      </c>
      <c r="T413" s="4"/>
      <c r="U413" s="4"/>
      <c r="V413" s="4"/>
      <c r="W413" s="4"/>
      <c r="X413" s="4"/>
      <c r="Y413" s="4"/>
      <c r="Z413" s="4"/>
      <c r="AA413" s="4"/>
      <c r="AD413" s="20" t="str">
        <f>IF((B413="")+(B413="Vacante")+(D413=""),"",IFERROR(MATCH(D413,{"Oficinas";"Locales";"Estacionamientos";"Bodegas"},0),5)&amp;"|"&amp;B413&amp;"|"&amp;TEXT(G413,"yyyymmdd")&amp;"|"&amp;TEXT(H413,"yyyymmdd"))</f>
        <v>3|BIORITMO|-|20291103</v>
      </c>
      <c r="AE413" s="4"/>
      <c r="AF413" s="4"/>
    </row>
    <row r="414" spans="1:32" x14ac:dyDescent="0.2">
      <c r="A414" s="5">
        <v>-7</v>
      </c>
      <c r="B414" s="6" t="s">
        <v>51</v>
      </c>
      <c r="C414" s="6" t="s">
        <v>51</v>
      </c>
      <c r="D414" s="6" t="s">
        <v>10</v>
      </c>
      <c r="E414" s="5">
        <v>7120</v>
      </c>
      <c r="F414" s="6" t="s">
        <v>104</v>
      </c>
      <c r="G414" s="9" t="s">
        <v>9</v>
      </c>
      <c r="H414" s="9">
        <v>46752</v>
      </c>
      <c r="I414" s="6" t="s">
        <v>2</v>
      </c>
      <c r="L414" s="18">
        <v>1</v>
      </c>
      <c r="M414" s="19">
        <v>5.5</v>
      </c>
      <c r="N414" s="18">
        <v>5.5</v>
      </c>
      <c r="T414" s="4"/>
      <c r="U414" s="4"/>
      <c r="V414" s="4"/>
      <c r="W414" s="4"/>
      <c r="X414" s="4"/>
      <c r="Y414" s="4"/>
      <c r="Z414" s="4"/>
      <c r="AA414" s="4"/>
      <c r="AD414" s="20" t="str">
        <f>IF((B414="")+(B414="Vacante")+(D414=""),"",IFERROR(MATCH(D414,{"Oficinas";"Locales";"Estacionamientos";"Bodegas"},0),5)&amp;"|"&amp;B414&amp;"|"&amp;TEXT(G414,"yyyymmdd")&amp;"|"&amp;TEXT(H414,"yyyymmdd"))</f>
        <v>3|SOURCING SPA|-|20271231</v>
      </c>
      <c r="AE414" s="4"/>
      <c r="AF414" s="4"/>
    </row>
    <row r="415" spans="1:32" x14ac:dyDescent="0.2">
      <c r="A415" s="5">
        <v>-7</v>
      </c>
      <c r="B415" s="6" t="s">
        <v>51</v>
      </c>
      <c r="C415" s="6" t="s">
        <v>51</v>
      </c>
      <c r="D415" s="6" t="s">
        <v>10</v>
      </c>
      <c r="E415" s="5">
        <v>7121</v>
      </c>
      <c r="F415" s="6" t="s">
        <v>104</v>
      </c>
      <c r="G415" s="9" t="s">
        <v>9</v>
      </c>
      <c r="H415" s="9">
        <v>46752</v>
      </c>
      <c r="I415" s="6" t="s">
        <v>2</v>
      </c>
      <c r="L415" s="18">
        <v>1</v>
      </c>
      <c r="M415" s="19">
        <v>5.5</v>
      </c>
      <c r="N415" s="18">
        <v>5.5</v>
      </c>
      <c r="T415" s="4"/>
      <c r="U415" s="4"/>
      <c r="V415" s="4"/>
      <c r="W415" s="4"/>
      <c r="X415" s="4"/>
      <c r="Y415" s="4"/>
      <c r="Z415" s="4"/>
      <c r="AA415" s="4"/>
      <c r="AD415" s="20" t="str">
        <f>IF((B415="")+(B415="Vacante")+(D415=""),"",IFERROR(MATCH(D415,{"Oficinas";"Locales";"Estacionamientos";"Bodegas"},0),5)&amp;"|"&amp;B415&amp;"|"&amp;TEXT(G415,"yyyymmdd")&amp;"|"&amp;TEXT(H415,"yyyymmdd"))</f>
        <v>3|SOURCING SPA|-|20271231</v>
      </c>
      <c r="AE415" s="4"/>
      <c r="AF415" s="4"/>
    </row>
    <row r="416" spans="1:32" x14ac:dyDescent="0.2">
      <c r="A416" s="5">
        <v>-7</v>
      </c>
      <c r="B416" s="6" t="s">
        <v>184</v>
      </c>
      <c r="C416" s="6" t="s">
        <v>36</v>
      </c>
      <c r="D416" s="6" t="s">
        <v>10</v>
      </c>
      <c r="E416" s="5">
        <v>7122</v>
      </c>
      <c r="G416" s="9" t="s">
        <v>9</v>
      </c>
      <c r="H416" s="9">
        <v>46222</v>
      </c>
      <c r="I416" s="6" t="s">
        <v>2</v>
      </c>
      <c r="L416" s="18">
        <v>1</v>
      </c>
      <c r="M416" s="19">
        <v>3.5</v>
      </c>
      <c r="N416" s="18">
        <v>3.5</v>
      </c>
      <c r="T416" s="4"/>
      <c r="U416" s="4"/>
      <c r="V416" s="4"/>
      <c r="W416" s="4"/>
      <c r="X416" s="4"/>
      <c r="Y416" s="4"/>
      <c r="Z416" s="4"/>
      <c r="AA416" s="4"/>
      <c r="AD416" s="20" t="str">
        <f>IF((B416="")+(B416="Vacante")+(D416=""),"",IFERROR(MATCH(D416,{"Oficinas";"Locales";"Estacionamientos";"Bodegas"},0),5)&amp;"|"&amp;B416&amp;"|"&amp;TEXT(G416,"yyyymmdd")&amp;"|"&amp;TEXT(H416,"yyyymmdd"))</f>
        <v>3|DEVON|-|20260719</v>
      </c>
      <c r="AE416" s="4"/>
      <c r="AF416" s="4"/>
    </row>
    <row r="417" spans="1:32" x14ac:dyDescent="0.2">
      <c r="A417" s="5">
        <v>-7</v>
      </c>
      <c r="B417" s="6" t="s">
        <v>184</v>
      </c>
      <c r="C417" s="6" t="s">
        <v>36</v>
      </c>
      <c r="D417" s="6" t="s">
        <v>10</v>
      </c>
      <c r="E417" s="5">
        <v>7123</v>
      </c>
      <c r="G417" s="9" t="s">
        <v>9</v>
      </c>
      <c r="H417" s="9">
        <v>46222</v>
      </c>
      <c r="I417" s="6" t="s">
        <v>2</v>
      </c>
      <c r="L417" s="18">
        <v>1</v>
      </c>
      <c r="M417" s="19">
        <v>3.5</v>
      </c>
      <c r="N417" s="18">
        <v>3.5</v>
      </c>
      <c r="T417" s="4"/>
      <c r="U417" s="4"/>
      <c r="V417" s="4"/>
      <c r="W417" s="4"/>
      <c r="X417" s="4"/>
      <c r="Y417" s="4"/>
      <c r="Z417" s="4"/>
      <c r="AA417" s="4"/>
      <c r="AD417" s="20" t="str">
        <f>IF((B417="")+(B417="Vacante")+(D417=""),"",IFERROR(MATCH(D417,{"Oficinas";"Locales";"Estacionamientos";"Bodegas"},0),5)&amp;"|"&amp;B417&amp;"|"&amp;TEXT(G417,"yyyymmdd")&amp;"|"&amp;TEXT(H417,"yyyymmdd"))</f>
        <v>3|DEVON|-|20260719</v>
      </c>
      <c r="AE417" s="4"/>
      <c r="AF417" s="4"/>
    </row>
    <row r="418" spans="1:32" x14ac:dyDescent="0.2">
      <c r="A418" s="5">
        <v>-7</v>
      </c>
      <c r="B418" s="6" t="s">
        <v>189</v>
      </c>
      <c r="C418" s="6" t="s">
        <v>32</v>
      </c>
      <c r="D418" s="6" t="s">
        <v>10</v>
      </c>
      <c r="E418" s="5">
        <v>7124</v>
      </c>
      <c r="G418" s="9" t="s">
        <v>9</v>
      </c>
      <c r="H418" s="9">
        <v>46387</v>
      </c>
      <c r="I418" s="6" t="s">
        <v>2</v>
      </c>
      <c r="L418" s="18">
        <v>1</v>
      </c>
      <c r="M418" s="19">
        <v>4</v>
      </c>
      <c r="N418" s="18">
        <v>4</v>
      </c>
      <c r="T418" s="4"/>
      <c r="U418" s="4"/>
      <c r="V418" s="4"/>
      <c r="W418" s="4"/>
      <c r="X418" s="4"/>
      <c r="Y418" s="4"/>
      <c r="Z418" s="4"/>
      <c r="AA418" s="4"/>
      <c r="AD418" s="20" t="str">
        <f>IF((B418="")+(B418="Vacante")+(D418=""),"",IFERROR(MATCH(D418,{"Oficinas";"Locales";"Estacionamientos";"Bodegas"},0),5)&amp;"|"&amp;B418&amp;"|"&amp;TEXT(G418,"yyyymmdd")&amp;"|"&amp;TEXT(H418,"yyyymmdd"))</f>
        <v>3|SUMITOMO|-|20261231</v>
      </c>
      <c r="AE418" s="4"/>
      <c r="AF418" s="4"/>
    </row>
    <row r="419" spans="1:32" x14ac:dyDescent="0.2">
      <c r="A419" s="5">
        <v>-7</v>
      </c>
      <c r="B419" s="6" t="s">
        <v>193</v>
      </c>
      <c r="C419" s="6" t="s">
        <v>24</v>
      </c>
      <c r="D419" s="6" t="s">
        <v>10</v>
      </c>
      <c r="E419" s="5">
        <v>7125</v>
      </c>
      <c r="G419" s="9" t="s">
        <v>9</v>
      </c>
      <c r="H419" s="9">
        <v>47528</v>
      </c>
      <c r="I419" s="6" t="s">
        <v>2</v>
      </c>
      <c r="L419" s="18">
        <v>1</v>
      </c>
      <c r="M419" s="19">
        <v>3</v>
      </c>
      <c r="N419" s="18">
        <v>3</v>
      </c>
      <c r="T419" s="4"/>
      <c r="U419" s="4"/>
      <c r="V419" s="4"/>
      <c r="W419" s="4"/>
      <c r="X419" s="4"/>
      <c r="Y419" s="4"/>
      <c r="Z419" s="4"/>
      <c r="AA419" s="4"/>
      <c r="AD419" s="20" t="str">
        <f>IF((B419="")+(B419="Vacante")+(D419=""),"",IFERROR(MATCH(D419,{"Oficinas";"Locales";"Estacionamientos";"Bodegas"},0),5)&amp;"|"&amp;B419&amp;"|"&amp;TEXT(G419,"yyyymmdd")&amp;"|"&amp;TEXT(H419,"yyyymmdd"))</f>
        <v>3|STELLANTIS|-|20300214</v>
      </c>
      <c r="AE419" s="4"/>
      <c r="AF419" s="4"/>
    </row>
    <row r="420" spans="1:32" x14ac:dyDescent="0.2">
      <c r="A420" s="5">
        <v>-7</v>
      </c>
      <c r="B420" s="6" t="s">
        <v>207</v>
      </c>
      <c r="C420" s="6" t="s">
        <v>48</v>
      </c>
      <c r="D420" s="6" t="s">
        <v>10</v>
      </c>
      <c r="E420" s="5">
        <v>7126</v>
      </c>
      <c r="F420" s="6" t="s">
        <v>104</v>
      </c>
      <c r="G420" s="9" t="s">
        <v>9</v>
      </c>
      <c r="H420" s="9">
        <v>47425</v>
      </c>
      <c r="I420" s="6" t="s">
        <v>2</v>
      </c>
      <c r="L420" s="18">
        <v>1</v>
      </c>
      <c r="M420" s="19">
        <v>6.72</v>
      </c>
      <c r="N420" s="18">
        <v>6.72</v>
      </c>
      <c r="T420" s="4"/>
      <c r="U420" s="4"/>
      <c r="V420" s="4"/>
      <c r="W420" s="4"/>
      <c r="X420" s="4"/>
      <c r="Y420" s="4"/>
      <c r="Z420" s="4"/>
      <c r="AA420" s="4"/>
      <c r="AD420" s="20" t="str">
        <f>IF((B420="")+(B420="Vacante")+(D420=""),"",IFERROR(MATCH(D420,{"Oficinas";"Locales";"Estacionamientos";"Bodegas"},0),5)&amp;"|"&amp;B420&amp;"|"&amp;TEXT(G420,"yyyymmdd")&amp;"|"&amp;TEXT(H420,"yyyymmdd"))</f>
        <v>3|BIORITMO|-|20291103</v>
      </c>
      <c r="AE420" s="4"/>
      <c r="AF420" s="4"/>
    </row>
    <row r="421" spans="1:32" x14ac:dyDescent="0.2">
      <c r="A421" s="5">
        <v>-7</v>
      </c>
      <c r="B421" s="6" t="s">
        <v>51</v>
      </c>
      <c r="C421" s="6" t="s">
        <v>51</v>
      </c>
      <c r="D421" s="6" t="s">
        <v>10</v>
      </c>
      <c r="E421" s="5">
        <v>7127</v>
      </c>
      <c r="G421" s="9" t="s">
        <v>9</v>
      </c>
      <c r="H421" s="9">
        <v>46752</v>
      </c>
      <c r="I421" s="6" t="s">
        <v>2</v>
      </c>
      <c r="L421" s="18">
        <v>1</v>
      </c>
      <c r="M421" s="19">
        <v>4</v>
      </c>
      <c r="N421" s="18">
        <v>4</v>
      </c>
      <c r="T421" s="4"/>
      <c r="U421" s="4"/>
      <c r="V421" s="4"/>
      <c r="W421" s="4"/>
      <c r="X421" s="4"/>
      <c r="Y421" s="4"/>
      <c r="Z421" s="4"/>
      <c r="AA421" s="4"/>
      <c r="AD421" s="20" t="str">
        <f>IF((B421="")+(B421="Vacante")+(D421=""),"",IFERROR(MATCH(D421,{"Oficinas";"Locales";"Estacionamientos";"Bodegas"},0),5)&amp;"|"&amp;B421&amp;"|"&amp;TEXT(G421,"yyyymmdd")&amp;"|"&amp;TEXT(H421,"yyyymmdd"))</f>
        <v>3|SOURCING SPA|-|20271231</v>
      </c>
      <c r="AE421" s="4"/>
      <c r="AF421" s="4"/>
    </row>
    <row r="422" spans="1:32" x14ac:dyDescent="0.2">
      <c r="A422" s="5">
        <v>-7</v>
      </c>
      <c r="B422" s="6" t="s">
        <v>51</v>
      </c>
      <c r="C422" s="6" t="s">
        <v>51</v>
      </c>
      <c r="D422" s="6" t="s">
        <v>10</v>
      </c>
      <c r="E422" s="5">
        <v>7128</v>
      </c>
      <c r="G422" s="9" t="s">
        <v>9</v>
      </c>
      <c r="H422" s="9">
        <v>46752</v>
      </c>
      <c r="I422" s="6" t="s">
        <v>2</v>
      </c>
      <c r="L422" s="18">
        <v>1</v>
      </c>
      <c r="M422" s="19">
        <v>4</v>
      </c>
      <c r="N422" s="18">
        <v>4</v>
      </c>
      <c r="T422" s="4"/>
      <c r="U422" s="4"/>
      <c r="V422" s="4"/>
      <c r="W422" s="4"/>
      <c r="X422" s="4"/>
      <c r="Y422" s="4"/>
      <c r="Z422" s="4"/>
      <c r="AA422" s="4"/>
      <c r="AD422" s="20" t="str">
        <f>IF((B422="")+(B422="Vacante")+(D422=""),"",IFERROR(MATCH(D422,{"Oficinas";"Locales";"Estacionamientos";"Bodegas"},0),5)&amp;"|"&amp;B422&amp;"|"&amp;TEXT(G422,"yyyymmdd")&amp;"|"&amp;TEXT(H422,"yyyymmdd"))</f>
        <v>3|SOURCING SPA|-|20271231</v>
      </c>
      <c r="AE422" s="4"/>
      <c r="AF422" s="4"/>
    </row>
    <row r="423" spans="1:32" x14ac:dyDescent="0.2">
      <c r="A423" s="5">
        <v>-7</v>
      </c>
      <c r="B423" s="6" t="s">
        <v>193</v>
      </c>
      <c r="C423" s="6" t="s">
        <v>24</v>
      </c>
      <c r="D423" s="6" t="s">
        <v>10</v>
      </c>
      <c r="E423" s="5">
        <v>7129</v>
      </c>
      <c r="G423" s="9" t="s">
        <v>9</v>
      </c>
      <c r="H423" s="9">
        <v>47528</v>
      </c>
      <c r="I423" s="6" t="s">
        <v>2</v>
      </c>
      <c r="L423" s="18">
        <v>1</v>
      </c>
      <c r="M423" s="19">
        <v>3</v>
      </c>
      <c r="N423" s="18">
        <v>3</v>
      </c>
      <c r="T423" s="4"/>
      <c r="U423" s="4"/>
      <c r="V423" s="4"/>
      <c r="W423" s="4"/>
      <c r="X423" s="4"/>
      <c r="Y423" s="4"/>
      <c r="Z423" s="4"/>
      <c r="AA423" s="4"/>
      <c r="AD423" s="20" t="str">
        <f>IF((B423="")+(B423="Vacante")+(D423=""),"",IFERROR(MATCH(D423,{"Oficinas";"Locales";"Estacionamientos";"Bodegas"},0),5)&amp;"|"&amp;B423&amp;"|"&amp;TEXT(G423,"yyyymmdd")&amp;"|"&amp;TEXT(H423,"yyyymmdd"))</f>
        <v>3|STELLANTIS|-|20300214</v>
      </c>
      <c r="AE423" s="4"/>
      <c r="AF423" s="4"/>
    </row>
    <row r="424" spans="1:32" x14ac:dyDescent="0.2">
      <c r="A424" s="5">
        <v>-7</v>
      </c>
      <c r="B424" s="6" t="s">
        <v>193</v>
      </c>
      <c r="C424" s="6" t="s">
        <v>24</v>
      </c>
      <c r="D424" s="6" t="s">
        <v>10</v>
      </c>
      <c r="E424" s="5">
        <v>7130</v>
      </c>
      <c r="G424" s="9" t="s">
        <v>9</v>
      </c>
      <c r="H424" s="9">
        <v>47528</v>
      </c>
      <c r="I424" s="6" t="s">
        <v>2</v>
      </c>
      <c r="L424" s="18">
        <v>1</v>
      </c>
      <c r="M424" s="19">
        <v>3</v>
      </c>
      <c r="N424" s="18">
        <v>3</v>
      </c>
      <c r="T424" s="4"/>
      <c r="U424" s="4"/>
      <c r="V424" s="4"/>
      <c r="W424" s="4"/>
      <c r="X424" s="4"/>
      <c r="Y424" s="4"/>
      <c r="Z424" s="4"/>
      <c r="AA424" s="4"/>
      <c r="AD424" s="20" t="str">
        <f>IF((B424="")+(B424="Vacante")+(D424=""),"",IFERROR(MATCH(D424,{"Oficinas";"Locales";"Estacionamientos";"Bodegas"},0),5)&amp;"|"&amp;B424&amp;"|"&amp;TEXT(G424,"yyyymmdd")&amp;"|"&amp;TEXT(H424,"yyyymmdd"))</f>
        <v>3|STELLANTIS|-|20300214</v>
      </c>
      <c r="AE424" s="4"/>
      <c r="AF424" s="4"/>
    </row>
    <row r="425" spans="1:32" x14ac:dyDescent="0.2">
      <c r="A425" s="5">
        <v>-7</v>
      </c>
      <c r="B425" s="6" t="s">
        <v>4</v>
      </c>
      <c r="C425" s="6" t="s">
        <v>4</v>
      </c>
      <c r="D425" s="6" t="s">
        <v>10</v>
      </c>
      <c r="E425" s="5">
        <v>7131</v>
      </c>
      <c r="F425" s="6" t="s">
        <v>122</v>
      </c>
      <c r="G425" s="9" t="s">
        <v>9</v>
      </c>
      <c r="H425" s="9" t="s">
        <v>9</v>
      </c>
      <c r="I425" s="6" t="s">
        <v>2</v>
      </c>
      <c r="L425" s="18">
        <v>1</v>
      </c>
      <c r="M425" s="19">
        <v>0</v>
      </c>
      <c r="N425" s="18">
        <v>0</v>
      </c>
      <c r="T425" s="4"/>
      <c r="U425" s="4"/>
      <c r="V425" s="4"/>
      <c r="W425" s="4"/>
      <c r="X425" s="4"/>
      <c r="Y425" s="4"/>
      <c r="Z425" s="4"/>
      <c r="AA425" s="4"/>
      <c r="AD425" s="20" t="str">
        <f>IF((B425="")+(B425="Vacante")+(D425=""),"",IFERROR(MATCH(D425,{"Oficinas";"Locales";"Estacionamientos";"Bodegas"},0),5)&amp;"|"&amp;B425&amp;"|"&amp;TEXT(G425,"yyyymmdd")&amp;"|"&amp;TEXT(H425,"yyyymmdd"))</f>
        <v/>
      </c>
      <c r="AE425" s="4"/>
      <c r="AF425" s="4"/>
    </row>
    <row r="426" spans="1:32" x14ac:dyDescent="0.2">
      <c r="A426" s="5">
        <v>-7</v>
      </c>
      <c r="B426" s="6" t="s">
        <v>198</v>
      </c>
      <c r="C426" s="6" t="s">
        <v>61</v>
      </c>
      <c r="D426" s="6" t="s">
        <v>10</v>
      </c>
      <c r="E426" s="5">
        <v>7132</v>
      </c>
      <c r="F426" s="6" t="s">
        <v>104</v>
      </c>
      <c r="G426" s="9">
        <v>46522</v>
      </c>
      <c r="H426" s="9">
        <v>47361</v>
      </c>
      <c r="I426" s="6" t="s">
        <v>2</v>
      </c>
      <c r="L426" s="18">
        <v>1</v>
      </c>
      <c r="M426" s="19">
        <v>6</v>
      </c>
      <c r="N426" s="18">
        <v>6</v>
      </c>
      <c r="T426" s="4"/>
      <c r="U426" s="4"/>
      <c r="V426" s="4"/>
      <c r="W426" s="4"/>
      <c r="X426" s="4"/>
      <c r="Y426" s="4"/>
      <c r="Z426" s="4"/>
      <c r="AA426" s="4"/>
      <c r="AD426" s="20" t="str">
        <f>IF((B426="")+(B426="Vacante")+(D426=""),"",IFERROR(MATCH(D426,{"Oficinas";"Locales";"Estacionamientos";"Bodegas"},0),5)&amp;"|"&amp;B426&amp;"|"&amp;TEXT(G426,"yyyymmdd")&amp;"|"&amp;TEXT(H426,"yyyymmdd"))</f>
        <v>3|DEUTSCHE PHARMA|20270515|20290831</v>
      </c>
      <c r="AE426" s="4"/>
      <c r="AF426" s="4"/>
    </row>
    <row r="427" spans="1:32" x14ac:dyDescent="0.2">
      <c r="A427" s="5">
        <v>-7</v>
      </c>
      <c r="B427" s="6" t="s">
        <v>4</v>
      </c>
      <c r="C427" s="6" t="s">
        <v>4</v>
      </c>
      <c r="D427" s="6" t="s">
        <v>10</v>
      </c>
      <c r="E427" s="5">
        <v>7133</v>
      </c>
      <c r="F427" s="6" t="s">
        <v>104</v>
      </c>
      <c r="G427" s="9" t="s">
        <v>9</v>
      </c>
      <c r="H427" s="9" t="s">
        <v>9</v>
      </c>
      <c r="I427" s="6" t="s">
        <v>2</v>
      </c>
      <c r="L427" s="18">
        <v>1</v>
      </c>
      <c r="M427" s="19">
        <v>0</v>
      </c>
      <c r="N427" s="18">
        <v>0</v>
      </c>
      <c r="T427" s="4"/>
      <c r="U427" s="4"/>
      <c r="V427" s="4"/>
      <c r="W427" s="4"/>
      <c r="X427" s="4"/>
      <c r="Y427" s="4"/>
      <c r="Z427" s="4"/>
      <c r="AA427" s="4"/>
      <c r="AD427" s="20" t="str">
        <f>IF((B427="")+(B427="Vacante")+(D427=""),"",IFERROR(MATCH(D427,{"Oficinas";"Locales";"Estacionamientos";"Bodegas"},0),5)&amp;"|"&amp;B427&amp;"|"&amp;TEXT(G427,"yyyymmdd")&amp;"|"&amp;TEXT(H427,"yyyymmdd"))</f>
        <v/>
      </c>
      <c r="AE427" s="4"/>
      <c r="AF427" s="4"/>
    </row>
    <row r="428" spans="1:32" x14ac:dyDescent="0.2">
      <c r="A428" s="5">
        <v>-7</v>
      </c>
      <c r="B428" s="6" t="s">
        <v>189</v>
      </c>
      <c r="C428" s="6" t="s">
        <v>32</v>
      </c>
      <c r="D428" s="6" t="s">
        <v>10</v>
      </c>
      <c r="E428" s="5">
        <v>7134</v>
      </c>
      <c r="F428" s="6" t="s">
        <v>104</v>
      </c>
      <c r="G428" s="9" t="s">
        <v>9</v>
      </c>
      <c r="H428" s="9">
        <v>46387</v>
      </c>
      <c r="I428" s="6" t="s">
        <v>2</v>
      </c>
      <c r="L428" s="18">
        <v>1</v>
      </c>
      <c r="M428" s="19">
        <v>8</v>
      </c>
      <c r="N428" s="18">
        <v>8</v>
      </c>
      <c r="T428" s="4"/>
      <c r="U428" s="4"/>
      <c r="V428" s="4"/>
      <c r="W428" s="4"/>
      <c r="X428" s="4"/>
      <c r="Y428" s="4"/>
      <c r="Z428" s="4"/>
      <c r="AA428" s="4"/>
      <c r="AD428" s="20" t="str">
        <f>IF((B428="")+(B428="Vacante")+(D428=""),"",IFERROR(MATCH(D428,{"Oficinas";"Locales";"Estacionamientos";"Bodegas"},0),5)&amp;"|"&amp;B428&amp;"|"&amp;TEXT(G428,"yyyymmdd")&amp;"|"&amp;TEXT(H428,"yyyymmdd"))</f>
        <v>3|SUMITOMO|-|20261231</v>
      </c>
      <c r="AE428" s="4"/>
      <c r="AF428" s="4"/>
    </row>
    <row r="429" spans="1:32" x14ac:dyDescent="0.2">
      <c r="A429" s="5">
        <v>-7</v>
      </c>
      <c r="B429" s="6" t="s">
        <v>189</v>
      </c>
      <c r="C429" s="6" t="s">
        <v>32</v>
      </c>
      <c r="D429" s="6" t="s">
        <v>10</v>
      </c>
      <c r="E429" s="5">
        <v>7135</v>
      </c>
      <c r="F429" s="6" t="s">
        <v>104</v>
      </c>
      <c r="G429" s="9" t="s">
        <v>9</v>
      </c>
      <c r="H429" s="9">
        <v>46387</v>
      </c>
      <c r="I429" s="6" t="s">
        <v>2</v>
      </c>
      <c r="L429" s="18">
        <v>1</v>
      </c>
      <c r="M429" s="19">
        <v>8</v>
      </c>
      <c r="N429" s="18">
        <v>8</v>
      </c>
      <c r="T429" s="4"/>
      <c r="U429" s="4"/>
      <c r="V429" s="4"/>
      <c r="W429" s="4"/>
      <c r="X429" s="4"/>
      <c r="Y429" s="4"/>
      <c r="Z429" s="4"/>
      <c r="AA429" s="4"/>
      <c r="AD429" s="20" t="str">
        <f>IF((B429="")+(B429="Vacante")+(D429=""),"",IFERROR(MATCH(D429,{"Oficinas";"Locales";"Estacionamientos";"Bodegas"},0),5)&amp;"|"&amp;B429&amp;"|"&amp;TEXT(G429,"yyyymmdd")&amp;"|"&amp;TEXT(H429,"yyyymmdd"))</f>
        <v>3|SUMITOMO|-|20261231</v>
      </c>
      <c r="AE429" s="4"/>
      <c r="AF429" s="4"/>
    </row>
    <row r="430" spans="1:32" x14ac:dyDescent="0.2">
      <c r="A430" s="5">
        <v>-7</v>
      </c>
      <c r="B430" s="6" t="s">
        <v>191</v>
      </c>
      <c r="C430" s="6" t="s">
        <v>29</v>
      </c>
      <c r="D430" s="6" t="s">
        <v>10</v>
      </c>
      <c r="E430" s="5">
        <v>7136</v>
      </c>
      <c r="G430" s="9">
        <v>46492</v>
      </c>
      <c r="H430" s="9">
        <v>47588</v>
      </c>
      <c r="I430" s="6" t="s">
        <v>2</v>
      </c>
      <c r="L430" s="18">
        <v>1</v>
      </c>
      <c r="M430" s="19">
        <v>4.3</v>
      </c>
      <c r="N430" s="18">
        <v>4.3</v>
      </c>
      <c r="T430" s="4"/>
      <c r="U430" s="4"/>
      <c r="V430" s="4"/>
      <c r="W430" s="4"/>
      <c r="X430" s="4"/>
      <c r="Y430" s="4"/>
      <c r="Z430" s="4"/>
      <c r="AA430" s="4"/>
      <c r="AD430" s="20" t="str">
        <f>IF((B430="")+(B430="Vacante")+(D430=""),"",IFERROR(MATCH(D430,{"Oficinas";"Locales";"Estacionamientos";"Bodegas"},0),5)&amp;"|"&amp;B430&amp;"|"&amp;TEXT(G430,"yyyymmdd")&amp;"|"&amp;TEXT(H430,"yyyymmdd"))</f>
        <v>3|SPENCER STUART|20270415|20300415</v>
      </c>
      <c r="AE430" s="4"/>
      <c r="AF430" s="4"/>
    </row>
    <row r="431" spans="1:32" x14ac:dyDescent="0.2">
      <c r="A431" s="5">
        <v>-7</v>
      </c>
      <c r="B431" s="6" t="s">
        <v>191</v>
      </c>
      <c r="C431" s="6" t="s">
        <v>29</v>
      </c>
      <c r="D431" s="6" t="s">
        <v>10</v>
      </c>
      <c r="E431" s="5">
        <v>7137</v>
      </c>
      <c r="G431" s="9">
        <v>46492</v>
      </c>
      <c r="H431" s="9">
        <v>47588</v>
      </c>
      <c r="I431" s="6" t="s">
        <v>2</v>
      </c>
      <c r="L431" s="18">
        <v>1</v>
      </c>
      <c r="M431" s="19">
        <v>4.3</v>
      </c>
      <c r="N431" s="18">
        <v>4.3</v>
      </c>
      <c r="T431" s="4"/>
      <c r="U431" s="4"/>
      <c r="V431" s="4"/>
      <c r="W431" s="4"/>
      <c r="X431" s="4"/>
      <c r="Y431" s="4"/>
      <c r="Z431" s="4"/>
      <c r="AA431" s="4"/>
      <c r="AD431" s="20" t="str">
        <f>IF((B431="")+(B431="Vacante")+(D431=""),"",IFERROR(MATCH(D431,{"Oficinas";"Locales";"Estacionamientos";"Bodegas"},0),5)&amp;"|"&amp;B431&amp;"|"&amp;TEXT(G431,"yyyymmdd")&amp;"|"&amp;TEXT(H431,"yyyymmdd"))</f>
        <v>3|SPENCER STUART|20270415|20300415</v>
      </c>
      <c r="AE431" s="4"/>
      <c r="AF431" s="4"/>
    </row>
    <row r="432" spans="1:32" x14ac:dyDescent="0.2">
      <c r="A432" s="5">
        <v>-7</v>
      </c>
      <c r="B432" s="6" t="s">
        <v>191</v>
      </c>
      <c r="C432" s="6" t="s">
        <v>29</v>
      </c>
      <c r="D432" s="6" t="s">
        <v>10</v>
      </c>
      <c r="E432" s="5">
        <v>7138</v>
      </c>
      <c r="G432" s="9">
        <v>46492</v>
      </c>
      <c r="H432" s="9">
        <v>47588</v>
      </c>
      <c r="I432" s="6" t="s">
        <v>2</v>
      </c>
      <c r="L432" s="18">
        <v>1</v>
      </c>
      <c r="M432" s="19">
        <v>4.3</v>
      </c>
      <c r="N432" s="18">
        <v>4.3</v>
      </c>
      <c r="T432" s="4"/>
      <c r="U432" s="4"/>
      <c r="V432" s="4"/>
      <c r="W432" s="4"/>
      <c r="X432" s="4"/>
      <c r="Y432" s="4"/>
      <c r="Z432" s="4"/>
      <c r="AA432" s="4"/>
      <c r="AD432" s="20" t="str">
        <f>IF((B432="")+(B432="Vacante")+(D432=""),"",IFERROR(MATCH(D432,{"Oficinas";"Locales";"Estacionamientos";"Bodegas"},0),5)&amp;"|"&amp;B432&amp;"|"&amp;TEXT(G432,"yyyymmdd")&amp;"|"&amp;TEXT(H432,"yyyymmdd"))</f>
        <v>3|SPENCER STUART|20270415|20300415</v>
      </c>
      <c r="AE432" s="4"/>
      <c r="AF432" s="4"/>
    </row>
    <row r="433" spans="1:32" x14ac:dyDescent="0.2">
      <c r="A433" s="5">
        <v>-7</v>
      </c>
      <c r="B433" s="6" t="s">
        <v>189</v>
      </c>
      <c r="C433" s="6" t="s">
        <v>32</v>
      </c>
      <c r="D433" s="6" t="s">
        <v>10</v>
      </c>
      <c r="E433" s="5">
        <v>7139</v>
      </c>
      <c r="G433" s="9" t="s">
        <v>9</v>
      </c>
      <c r="H433" s="9">
        <v>46387</v>
      </c>
      <c r="I433" s="6" t="s">
        <v>2</v>
      </c>
      <c r="L433" s="18">
        <v>1</v>
      </c>
      <c r="M433" s="19">
        <v>4</v>
      </c>
      <c r="N433" s="18">
        <v>4</v>
      </c>
      <c r="T433" s="4"/>
      <c r="U433" s="4"/>
      <c r="V433" s="4"/>
      <c r="W433" s="4"/>
      <c r="X433" s="4"/>
      <c r="Y433" s="4"/>
      <c r="Z433" s="4"/>
      <c r="AA433" s="4"/>
      <c r="AD433" s="20" t="str">
        <f>IF((B433="")+(B433="Vacante")+(D433=""),"",IFERROR(MATCH(D433,{"Oficinas";"Locales";"Estacionamientos";"Bodegas"},0),5)&amp;"|"&amp;B433&amp;"|"&amp;TEXT(G433,"yyyymmdd")&amp;"|"&amp;TEXT(H433,"yyyymmdd"))</f>
        <v>3|SUMITOMO|-|20261231</v>
      </c>
      <c r="AE433" s="4"/>
      <c r="AF433" s="4"/>
    </row>
    <row r="434" spans="1:32" x14ac:dyDescent="0.2">
      <c r="A434" s="5">
        <v>-7</v>
      </c>
      <c r="B434" s="6" t="s">
        <v>189</v>
      </c>
      <c r="C434" s="6" t="s">
        <v>32</v>
      </c>
      <c r="D434" s="6" t="s">
        <v>10</v>
      </c>
      <c r="E434" s="5">
        <v>7140</v>
      </c>
      <c r="G434" s="9" t="s">
        <v>9</v>
      </c>
      <c r="H434" s="9">
        <v>46387</v>
      </c>
      <c r="I434" s="6" t="s">
        <v>2</v>
      </c>
      <c r="L434" s="18">
        <v>1</v>
      </c>
      <c r="M434" s="19">
        <v>4</v>
      </c>
      <c r="N434" s="18">
        <v>4</v>
      </c>
      <c r="T434" s="4"/>
      <c r="U434" s="4"/>
      <c r="V434" s="4"/>
      <c r="W434" s="4"/>
      <c r="X434" s="4"/>
      <c r="Y434" s="4"/>
      <c r="Z434" s="4"/>
      <c r="AA434" s="4"/>
      <c r="AD434" s="20" t="str">
        <f>IF((B434="")+(B434="Vacante")+(D434=""),"",IFERROR(MATCH(D434,{"Oficinas";"Locales";"Estacionamientos";"Bodegas"},0),5)&amp;"|"&amp;B434&amp;"|"&amp;TEXT(G434,"yyyymmdd")&amp;"|"&amp;TEXT(H434,"yyyymmdd"))</f>
        <v>3|SUMITOMO|-|20261231</v>
      </c>
      <c r="AE434" s="4"/>
      <c r="AF434" s="4"/>
    </row>
    <row r="435" spans="1:32" x14ac:dyDescent="0.2">
      <c r="A435" s="5">
        <v>-8</v>
      </c>
      <c r="B435" s="6" t="s">
        <v>208</v>
      </c>
      <c r="C435" s="6" t="s">
        <v>49</v>
      </c>
      <c r="D435" s="6" t="s">
        <v>8</v>
      </c>
      <c r="E435" s="5">
        <v>802</v>
      </c>
      <c r="G435" s="9" t="s">
        <v>9</v>
      </c>
      <c r="H435" s="9">
        <v>47497</v>
      </c>
      <c r="I435" s="6" t="s">
        <v>2</v>
      </c>
      <c r="L435" s="18">
        <v>12.3</v>
      </c>
      <c r="M435" s="19">
        <v>0.2</v>
      </c>
      <c r="N435" s="18">
        <v>2.4600000000000004</v>
      </c>
      <c r="T435" s="4"/>
      <c r="U435" s="4"/>
      <c r="V435" s="4"/>
      <c r="W435" s="4"/>
      <c r="X435" s="4"/>
      <c r="Y435" s="4"/>
      <c r="Z435" s="4"/>
      <c r="AA435" s="4"/>
      <c r="AD435" s="20" t="str">
        <f>IF((B435="")+(B435="Vacante")+(D435=""),"",IFERROR(MATCH(D435,{"Oficinas";"Locales";"Estacionamientos";"Bodegas"},0),5)&amp;"|"&amp;B435&amp;"|"&amp;TEXT(G435,"yyyymmdd")&amp;"|"&amp;TEXT(H435,"yyyymmdd"))</f>
        <v>4|THE BOSS|-|20300114</v>
      </c>
      <c r="AE435" s="4"/>
      <c r="AF435" s="4"/>
    </row>
    <row r="436" spans="1:32" x14ac:dyDescent="0.2">
      <c r="A436" s="5">
        <v>-8</v>
      </c>
      <c r="B436" s="6" t="s">
        <v>208</v>
      </c>
      <c r="C436" s="6" t="s">
        <v>49</v>
      </c>
      <c r="D436" s="6" t="s">
        <v>8</v>
      </c>
      <c r="E436" s="5">
        <v>803</v>
      </c>
      <c r="G436" s="9" t="s">
        <v>9</v>
      </c>
      <c r="H436" s="9">
        <v>47497</v>
      </c>
      <c r="I436" s="6" t="s">
        <v>2</v>
      </c>
      <c r="L436" s="18">
        <v>14.35</v>
      </c>
      <c r="M436" s="19">
        <v>0.2</v>
      </c>
      <c r="N436" s="18">
        <v>2.87</v>
      </c>
      <c r="T436" s="4"/>
      <c r="U436" s="4"/>
      <c r="V436" s="4"/>
      <c r="W436" s="4"/>
      <c r="X436" s="4"/>
      <c r="Y436" s="4"/>
      <c r="Z436" s="4"/>
      <c r="AA436" s="4"/>
      <c r="AD436" s="20" t="str">
        <f>IF((B436="")+(B436="Vacante")+(D436=""),"",IFERROR(MATCH(D436,{"Oficinas";"Locales";"Estacionamientos";"Bodegas"},0),5)&amp;"|"&amp;B436&amp;"|"&amp;TEXT(G436,"yyyymmdd")&amp;"|"&amp;TEXT(H436,"yyyymmdd"))</f>
        <v>4|THE BOSS|-|20300114</v>
      </c>
      <c r="AE436" s="4"/>
      <c r="AF436" s="4"/>
    </row>
    <row r="437" spans="1:32" x14ac:dyDescent="0.2">
      <c r="A437" s="5">
        <v>-8</v>
      </c>
      <c r="B437" s="6" t="s">
        <v>191</v>
      </c>
      <c r="C437" s="6" t="s">
        <v>29</v>
      </c>
      <c r="D437" s="6" t="s">
        <v>8</v>
      </c>
      <c r="E437" s="5">
        <v>804</v>
      </c>
      <c r="G437" s="9">
        <v>46492</v>
      </c>
      <c r="H437" s="9">
        <v>47588</v>
      </c>
      <c r="I437" s="6" t="s">
        <v>2</v>
      </c>
      <c r="L437" s="18">
        <v>9.82</v>
      </c>
      <c r="M437" s="19">
        <v>0.3</v>
      </c>
      <c r="N437" s="18">
        <v>2.9460000000000002</v>
      </c>
      <c r="T437" s="4"/>
      <c r="U437" s="4"/>
      <c r="V437" s="4"/>
      <c r="W437" s="4"/>
      <c r="X437" s="4"/>
      <c r="Y437" s="4"/>
      <c r="Z437" s="4"/>
      <c r="AA437" s="4"/>
      <c r="AD437" s="20" t="str">
        <f>IF((B437="")+(B437="Vacante")+(D437=""),"",IFERROR(MATCH(D437,{"Oficinas";"Locales";"Estacionamientos";"Bodegas"},0),5)&amp;"|"&amp;B437&amp;"|"&amp;TEXT(G437,"yyyymmdd")&amp;"|"&amp;TEXT(H437,"yyyymmdd"))</f>
        <v>4|SPENCER STUART|20270415|20300415</v>
      </c>
      <c r="AE437" s="4"/>
      <c r="AF437" s="4"/>
    </row>
    <row r="438" spans="1:32" x14ac:dyDescent="0.2">
      <c r="A438" s="5">
        <v>-8</v>
      </c>
      <c r="B438" s="6" t="s">
        <v>4</v>
      </c>
      <c r="C438" s="6" t="s">
        <v>4</v>
      </c>
      <c r="D438" s="6" t="s">
        <v>8</v>
      </c>
      <c r="E438" s="5">
        <v>805</v>
      </c>
      <c r="G438" s="9" t="s">
        <v>9</v>
      </c>
      <c r="H438" s="9" t="s">
        <v>9</v>
      </c>
      <c r="I438" s="6" t="s">
        <v>2</v>
      </c>
      <c r="L438" s="18">
        <v>9.2799999999999994</v>
      </c>
      <c r="M438" s="19">
        <v>0</v>
      </c>
      <c r="N438" s="18">
        <v>0</v>
      </c>
      <c r="T438" s="4"/>
      <c r="U438" s="4"/>
      <c r="V438" s="4"/>
      <c r="W438" s="4"/>
      <c r="X438" s="4"/>
      <c r="Y438" s="4"/>
      <c r="Z438" s="4"/>
      <c r="AA438" s="4"/>
      <c r="AD438" s="20" t="str">
        <f>IF((B438="")+(B438="Vacante")+(D438=""),"",IFERROR(MATCH(D438,{"Oficinas";"Locales";"Estacionamientos";"Bodegas"},0),5)&amp;"|"&amp;B438&amp;"|"&amp;TEXT(G438,"yyyymmdd")&amp;"|"&amp;TEXT(H438,"yyyymmdd"))</f>
        <v/>
      </c>
      <c r="AE438" s="4"/>
      <c r="AF438" s="4"/>
    </row>
    <row r="439" spans="1:32" x14ac:dyDescent="0.2">
      <c r="A439" s="5">
        <v>-8</v>
      </c>
      <c r="B439" s="6" t="s">
        <v>4</v>
      </c>
      <c r="C439" s="6" t="s">
        <v>4</v>
      </c>
      <c r="D439" s="6" t="s">
        <v>8</v>
      </c>
      <c r="E439" s="5">
        <v>806</v>
      </c>
      <c r="G439" s="9" t="s">
        <v>9</v>
      </c>
      <c r="H439" s="9" t="s">
        <v>9</v>
      </c>
      <c r="I439" s="6" t="s">
        <v>2</v>
      </c>
      <c r="L439" s="18">
        <v>8.5299999999999994</v>
      </c>
      <c r="M439" s="19">
        <v>0</v>
      </c>
      <c r="N439" s="18">
        <v>0</v>
      </c>
      <c r="T439" s="4"/>
      <c r="U439" s="4"/>
      <c r="V439" s="4"/>
      <c r="W439" s="4"/>
      <c r="X439" s="4"/>
      <c r="Y439" s="4"/>
      <c r="Z439" s="4"/>
      <c r="AA439" s="4"/>
      <c r="AD439" s="20" t="str">
        <f>IF((B439="")+(B439="Vacante")+(D439=""),"",IFERROR(MATCH(D439,{"Oficinas";"Locales";"Estacionamientos";"Bodegas"},0),5)&amp;"|"&amp;B439&amp;"|"&amp;TEXT(G439,"yyyymmdd")&amp;"|"&amp;TEXT(H439,"yyyymmdd"))</f>
        <v/>
      </c>
      <c r="AE439" s="4"/>
      <c r="AF439" s="4"/>
    </row>
    <row r="440" spans="1:32" x14ac:dyDescent="0.2">
      <c r="A440" s="5">
        <v>-8</v>
      </c>
      <c r="B440" s="6" t="s">
        <v>177</v>
      </c>
      <c r="C440" s="6" t="s">
        <v>121</v>
      </c>
      <c r="D440" s="6" t="s">
        <v>8</v>
      </c>
      <c r="E440" s="5">
        <v>807</v>
      </c>
      <c r="G440" s="9" t="s">
        <v>9</v>
      </c>
      <c r="H440" s="9">
        <v>46142</v>
      </c>
      <c r="I440" s="6" t="s">
        <v>2</v>
      </c>
      <c r="L440" s="18">
        <v>9.5299999999999994</v>
      </c>
      <c r="M440" s="19">
        <v>0.3</v>
      </c>
      <c r="N440" s="18">
        <v>2.8589999999999995</v>
      </c>
      <c r="T440" s="4"/>
      <c r="U440" s="4"/>
      <c r="V440" s="4"/>
      <c r="W440" s="4"/>
      <c r="X440" s="4"/>
      <c r="Y440" s="4"/>
      <c r="Z440" s="4"/>
      <c r="AA440" s="4"/>
      <c r="AD440" s="20" t="str">
        <f>IF((B440="")+(B440="Vacante")+(D440=""),"",IFERROR(MATCH(D440,{"Oficinas";"Locales";"Estacionamientos";"Bodegas"},0),5)&amp;"|"&amp;B440&amp;"|"&amp;TEXT(G440,"yyyymmdd")&amp;"|"&amp;TEXT(H440,"yyyymmdd"))</f>
        <v>4|UKA CHILE|-|20260430</v>
      </c>
      <c r="AE440" s="4"/>
      <c r="AF440" s="4"/>
    </row>
    <row r="441" spans="1:32" x14ac:dyDescent="0.2">
      <c r="A441" s="5">
        <v>-8</v>
      </c>
      <c r="B441" s="6" t="s">
        <v>191</v>
      </c>
      <c r="C441" s="6" t="s">
        <v>29</v>
      </c>
      <c r="D441" s="6" t="s">
        <v>8</v>
      </c>
      <c r="E441" s="5">
        <v>808</v>
      </c>
      <c r="G441" s="9">
        <v>46492</v>
      </c>
      <c r="H441" s="9">
        <v>47588</v>
      </c>
      <c r="I441" s="6" t="s">
        <v>2</v>
      </c>
      <c r="L441" s="18">
        <v>9.9700000000000006</v>
      </c>
      <c r="M441" s="19">
        <v>0.3</v>
      </c>
      <c r="N441" s="18">
        <v>2.9910000000000001</v>
      </c>
      <c r="T441" s="4"/>
      <c r="U441" s="4"/>
      <c r="V441" s="4"/>
      <c r="W441" s="4"/>
      <c r="X441" s="4"/>
      <c r="Y441" s="4"/>
      <c r="Z441" s="4"/>
      <c r="AA441" s="4"/>
      <c r="AD441" s="20" t="str">
        <f>IF((B441="")+(B441="Vacante")+(D441=""),"",IFERROR(MATCH(D441,{"Oficinas";"Locales";"Estacionamientos";"Bodegas"},0),5)&amp;"|"&amp;B441&amp;"|"&amp;TEXT(G441,"yyyymmdd")&amp;"|"&amp;TEXT(H441,"yyyymmdd"))</f>
        <v>4|SPENCER STUART|20270415|20300415</v>
      </c>
      <c r="AE441" s="4"/>
      <c r="AF441" s="4"/>
    </row>
    <row r="442" spans="1:32" x14ac:dyDescent="0.2">
      <c r="A442" s="5">
        <v>-8</v>
      </c>
      <c r="B442" s="6" t="s">
        <v>189</v>
      </c>
      <c r="C442" s="6" t="s">
        <v>32</v>
      </c>
      <c r="D442" s="6" t="s">
        <v>8</v>
      </c>
      <c r="E442" s="5">
        <v>809</v>
      </c>
      <c r="G442" s="9" t="s">
        <v>9</v>
      </c>
      <c r="H442" s="9">
        <v>46387</v>
      </c>
      <c r="I442" s="6" t="s">
        <v>2</v>
      </c>
      <c r="L442" s="18">
        <v>8.93</v>
      </c>
      <c r="M442" s="19">
        <v>0.30199999999999999</v>
      </c>
      <c r="N442" s="18">
        <v>2.69686</v>
      </c>
      <c r="T442" s="4"/>
      <c r="U442" s="4"/>
      <c r="V442" s="4"/>
      <c r="W442" s="4"/>
      <c r="X442" s="4"/>
      <c r="Y442" s="4"/>
      <c r="Z442" s="4"/>
      <c r="AA442" s="4"/>
      <c r="AD442" s="20" t="str">
        <f>IF((B442="")+(B442="Vacante")+(D442=""),"",IFERROR(MATCH(D442,{"Oficinas";"Locales";"Estacionamientos";"Bodegas"},0),5)&amp;"|"&amp;B442&amp;"|"&amp;TEXT(G442,"yyyymmdd")&amp;"|"&amp;TEXT(H442,"yyyymmdd"))</f>
        <v>4|SUMITOMO|-|20261231</v>
      </c>
      <c r="AE442" s="4"/>
      <c r="AF442" s="4"/>
    </row>
    <row r="443" spans="1:32" x14ac:dyDescent="0.2">
      <c r="A443" s="5">
        <v>-8</v>
      </c>
      <c r="B443" s="6" t="s">
        <v>198</v>
      </c>
      <c r="C443" s="6" t="s">
        <v>61</v>
      </c>
      <c r="D443" s="6" t="s">
        <v>8</v>
      </c>
      <c r="E443" s="5">
        <v>810</v>
      </c>
      <c r="G443" s="9">
        <v>46522</v>
      </c>
      <c r="H443" s="9">
        <v>47361</v>
      </c>
      <c r="I443" s="6" t="s">
        <v>2</v>
      </c>
      <c r="L443" s="18">
        <v>12.91</v>
      </c>
      <c r="M443" s="19">
        <v>0.3</v>
      </c>
      <c r="N443" s="18">
        <v>3.8729999999999998</v>
      </c>
      <c r="T443" s="4"/>
      <c r="U443" s="4"/>
      <c r="V443" s="4"/>
      <c r="W443" s="4"/>
      <c r="X443" s="4"/>
      <c r="Y443" s="4"/>
      <c r="Z443" s="4"/>
      <c r="AA443" s="4"/>
      <c r="AD443" s="20" t="str">
        <f>IF((B443="")+(B443="Vacante")+(D443=""),"",IFERROR(MATCH(D443,{"Oficinas";"Locales";"Estacionamientos";"Bodegas"},0),5)&amp;"|"&amp;B443&amp;"|"&amp;TEXT(G443,"yyyymmdd")&amp;"|"&amp;TEXT(H443,"yyyymmdd"))</f>
        <v>4|DEUTSCHE PHARMA|20270515|20290831</v>
      </c>
      <c r="AE443" s="4"/>
      <c r="AF443" s="4"/>
    </row>
    <row r="444" spans="1:32" x14ac:dyDescent="0.2">
      <c r="A444" s="5">
        <v>-8</v>
      </c>
      <c r="B444" s="6" t="s">
        <v>181</v>
      </c>
      <c r="C444" s="6" t="s">
        <v>44</v>
      </c>
      <c r="D444" s="6" t="s">
        <v>8</v>
      </c>
      <c r="E444" s="5">
        <v>811</v>
      </c>
      <c r="G444" s="9">
        <v>46457</v>
      </c>
      <c r="H444" s="9">
        <v>47187</v>
      </c>
      <c r="I444" s="6" t="s">
        <v>2</v>
      </c>
      <c r="L444" s="18">
        <v>30.03</v>
      </c>
      <c r="M444" s="19">
        <v>0.19997999999999999</v>
      </c>
      <c r="N444" s="18">
        <v>6.0053993999999999</v>
      </c>
      <c r="T444" s="4"/>
      <c r="U444" s="4"/>
      <c r="V444" s="4"/>
      <c r="W444" s="4"/>
      <c r="X444" s="4"/>
      <c r="Y444" s="4"/>
      <c r="Z444" s="4"/>
      <c r="AA444" s="4"/>
      <c r="AD444" s="20" t="str">
        <f>IF((B444="")+(B444="Vacante")+(D444=""),"",IFERROR(MATCH(D444,{"Oficinas";"Locales";"Estacionamientos";"Bodegas"},0),5)&amp;"|"&amp;B444&amp;"|"&amp;TEXT(G444,"yyyymmdd")&amp;"|"&amp;TEXT(H444,"yyyymmdd"))</f>
        <v>4|PRICE FORBES |20270311|20290310</v>
      </c>
      <c r="AE444" s="4"/>
      <c r="AF444" s="4"/>
    </row>
    <row r="445" spans="1:32" x14ac:dyDescent="0.2">
      <c r="A445" s="5">
        <v>-8</v>
      </c>
      <c r="B445" s="6" t="s">
        <v>4</v>
      </c>
      <c r="C445" s="6" t="s">
        <v>4</v>
      </c>
      <c r="D445" s="6" t="s">
        <v>8</v>
      </c>
      <c r="E445" s="5">
        <v>812</v>
      </c>
      <c r="F445" s="6" t="s">
        <v>139</v>
      </c>
      <c r="G445" s="9" t="s">
        <v>9</v>
      </c>
      <c r="H445" s="9" t="s">
        <v>9</v>
      </c>
      <c r="I445" s="6" t="s">
        <v>2</v>
      </c>
      <c r="L445" s="18">
        <v>15.89</v>
      </c>
      <c r="M445" s="19">
        <v>0</v>
      </c>
      <c r="N445" s="18">
        <v>0</v>
      </c>
      <c r="T445" s="4"/>
      <c r="U445" s="4"/>
      <c r="V445" s="4"/>
      <c r="W445" s="4"/>
      <c r="X445" s="4"/>
      <c r="Y445" s="4"/>
      <c r="Z445" s="4"/>
      <c r="AA445" s="4"/>
      <c r="AD445" s="20" t="str">
        <f>IF((B445="")+(B445="Vacante")+(D445=""),"",IFERROR(MATCH(D445,{"Oficinas";"Locales";"Estacionamientos";"Bodegas"},0),5)&amp;"|"&amp;B445&amp;"|"&amp;TEXT(G445,"yyyymmdd")&amp;"|"&amp;TEXT(H445,"yyyymmdd"))</f>
        <v/>
      </c>
      <c r="AE445" s="4"/>
      <c r="AF445" s="4"/>
    </row>
    <row r="446" spans="1:32" x14ac:dyDescent="0.2">
      <c r="A446" s="5">
        <v>-8</v>
      </c>
      <c r="B446" s="6" t="s">
        <v>198</v>
      </c>
      <c r="C446" s="6" t="s">
        <v>61</v>
      </c>
      <c r="D446" s="6" t="s">
        <v>8</v>
      </c>
      <c r="E446" s="5">
        <v>813</v>
      </c>
      <c r="F446" s="6" t="s">
        <v>140</v>
      </c>
      <c r="G446" s="9">
        <v>46522</v>
      </c>
      <c r="H446" s="9">
        <v>47361</v>
      </c>
      <c r="I446" s="6" t="s">
        <v>2</v>
      </c>
      <c r="L446" s="18">
        <v>9.65</v>
      </c>
      <c r="M446" s="19">
        <v>0.3</v>
      </c>
      <c r="N446" s="18">
        <v>2.895</v>
      </c>
      <c r="T446" s="4"/>
      <c r="U446" s="4"/>
      <c r="V446" s="4"/>
      <c r="W446" s="4"/>
      <c r="X446" s="4"/>
      <c r="Y446" s="4"/>
      <c r="Z446" s="4"/>
      <c r="AA446" s="4"/>
      <c r="AD446" s="20" t="str">
        <f>IF((B446="")+(B446="Vacante")+(D446=""),"",IFERROR(MATCH(D446,{"Oficinas";"Locales";"Estacionamientos";"Bodegas"},0),5)&amp;"|"&amp;B446&amp;"|"&amp;TEXT(G446,"yyyymmdd")&amp;"|"&amp;TEXT(H446,"yyyymmdd"))</f>
        <v>4|DEUTSCHE PHARMA|20270515|20290831</v>
      </c>
      <c r="AE446" s="4"/>
      <c r="AF446" s="4"/>
    </row>
    <row r="447" spans="1:32" x14ac:dyDescent="0.2">
      <c r="A447" s="5">
        <v>-8</v>
      </c>
      <c r="B447" s="6" t="s">
        <v>198</v>
      </c>
      <c r="C447" s="6" t="s">
        <v>61</v>
      </c>
      <c r="D447" s="6" t="s">
        <v>8</v>
      </c>
      <c r="E447" s="5">
        <v>814</v>
      </c>
      <c r="F447" s="6" t="s">
        <v>141</v>
      </c>
      <c r="G447" s="9">
        <v>46522</v>
      </c>
      <c r="H447" s="9">
        <v>47361</v>
      </c>
      <c r="I447" s="6" t="s">
        <v>2</v>
      </c>
      <c r="L447" s="18">
        <v>8.86</v>
      </c>
      <c r="M447" s="19">
        <v>0.3</v>
      </c>
      <c r="N447" s="18">
        <v>2.6579999999999999</v>
      </c>
      <c r="T447" s="4"/>
      <c r="U447" s="4"/>
      <c r="V447" s="4"/>
      <c r="W447" s="4"/>
      <c r="X447" s="4"/>
      <c r="Y447" s="4"/>
      <c r="Z447" s="4"/>
      <c r="AA447" s="4"/>
      <c r="AD447" s="20" t="str">
        <f>IF((B447="")+(B447="Vacante")+(D447=""),"",IFERROR(MATCH(D447,{"Oficinas";"Locales";"Estacionamientos";"Bodegas"},0),5)&amp;"|"&amp;B447&amp;"|"&amp;TEXT(G447,"yyyymmdd")&amp;"|"&amp;TEXT(H447,"yyyymmdd"))</f>
        <v>4|DEUTSCHE PHARMA|20270515|20290831</v>
      </c>
      <c r="AE447" s="4"/>
      <c r="AF447" s="4"/>
    </row>
    <row r="448" spans="1:32" x14ac:dyDescent="0.2">
      <c r="A448" s="5">
        <v>-8</v>
      </c>
      <c r="B448" s="6" t="s">
        <v>190</v>
      </c>
      <c r="C448" s="6" t="s">
        <v>27</v>
      </c>
      <c r="D448" s="6" t="s">
        <v>8</v>
      </c>
      <c r="E448" s="5">
        <v>815</v>
      </c>
      <c r="F448" s="6" t="s">
        <v>142</v>
      </c>
      <c r="G448" s="9" t="s">
        <v>9</v>
      </c>
      <c r="H448" s="9">
        <v>47664</v>
      </c>
      <c r="I448" s="6" t="s">
        <v>2</v>
      </c>
      <c r="L448" s="18">
        <v>5.46</v>
      </c>
      <c r="M448" s="19">
        <v>0.3</v>
      </c>
      <c r="N448" s="18">
        <v>1.6379999999999999</v>
      </c>
      <c r="T448" s="4"/>
      <c r="U448" s="4"/>
      <c r="V448" s="4"/>
      <c r="W448" s="4"/>
      <c r="X448" s="4"/>
      <c r="Y448" s="4"/>
      <c r="Z448" s="4"/>
      <c r="AA448" s="4"/>
      <c r="AD448" s="20" t="str">
        <f>IF((B448="")+(B448="Vacante")+(D448=""),"",IFERROR(MATCH(D448,{"Oficinas";"Locales";"Estacionamientos";"Bodegas"},0),5)&amp;"|"&amp;B448&amp;"|"&amp;TEXT(G448,"yyyymmdd")&amp;"|"&amp;TEXT(H448,"yyyymmdd"))</f>
        <v>4|JOHNSON HEALTH TECH|-|20300630</v>
      </c>
      <c r="AE448" s="4"/>
      <c r="AF448" s="4"/>
    </row>
    <row r="449" spans="1:32" x14ac:dyDescent="0.2">
      <c r="A449" s="5">
        <v>-8</v>
      </c>
      <c r="B449" s="6" t="s">
        <v>190</v>
      </c>
      <c r="C449" s="6" t="s">
        <v>27</v>
      </c>
      <c r="D449" s="6" t="s">
        <v>8</v>
      </c>
      <c r="E449" s="5">
        <v>816</v>
      </c>
      <c r="F449" s="6" t="s">
        <v>143</v>
      </c>
      <c r="G449" s="9" t="s">
        <v>9</v>
      </c>
      <c r="H449" s="9">
        <v>47664</v>
      </c>
      <c r="I449" s="6" t="s">
        <v>2</v>
      </c>
      <c r="L449" s="18">
        <v>4.97</v>
      </c>
      <c r="M449" s="19">
        <v>0.3</v>
      </c>
      <c r="N449" s="18">
        <v>1.4909999999999999</v>
      </c>
      <c r="T449" s="4"/>
      <c r="U449" s="4"/>
      <c r="V449" s="4"/>
      <c r="W449" s="4"/>
      <c r="X449" s="4"/>
      <c r="Y449" s="4"/>
      <c r="Z449" s="4"/>
      <c r="AA449" s="4"/>
      <c r="AD449" s="20" t="str">
        <f>IF((B449="")+(B449="Vacante")+(D449=""),"",IFERROR(MATCH(D449,{"Oficinas";"Locales";"Estacionamientos";"Bodegas"},0),5)&amp;"|"&amp;B449&amp;"|"&amp;TEXT(G449,"yyyymmdd")&amp;"|"&amp;TEXT(H449,"yyyymmdd"))</f>
        <v>4|JOHNSON HEALTH TECH|-|20300630</v>
      </c>
      <c r="AE449" s="4"/>
      <c r="AF449" s="4"/>
    </row>
    <row r="450" spans="1:32" x14ac:dyDescent="0.2">
      <c r="A450" s="5">
        <v>-8</v>
      </c>
      <c r="B450" s="6" t="s">
        <v>4</v>
      </c>
      <c r="C450" s="6" t="s">
        <v>4</v>
      </c>
      <c r="D450" s="6" t="s">
        <v>8</v>
      </c>
      <c r="E450" s="5">
        <v>817</v>
      </c>
      <c r="F450" s="6" t="s">
        <v>144</v>
      </c>
      <c r="G450" s="9" t="s">
        <v>9</v>
      </c>
      <c r="H450" s="9" t="s">
        <v>9</v>
      </c>
      <c r="I450" s="6" t="s">
        <v>2</v>
      </c>
      <c r="L450" s="18">
        <v>4.68</v>
      </c>
      <c r="M450" s="19">
        <v>0</v>
      </c>
      <c r="N450" s="18">
        <v>0</v>
      </c>
      <c r="T450" s="4"/>
      <c r="U450" s="4"/>
      <c r="V450" s="4"/>
      <c r="W450" s="4"/>
      <c r="X450" s="4"/>
      <c r="Y450" s="4"/>
      <c r="Z450" s="4"/>
      <c r="AA450" s="4"/>
      <c r="AD450" s="20" t="str">
        <f>IF((B450="")+(B450="Vacante")+(D450=""),"",IFERROR(MATCH(D450,{"Oficinas";"Locales";"Estacionamientos";"Bodegas"},0),5)&amp;"|"&amp;B450&amp;"|"&amp;TEXT(G450,"yyyymmdd")&amp;"|"&amp;TEXT(H450,"yyyymmdd"))</f>
        <v/>
      </c>
      <c r="AE450" s="4"/>
      <c r="AF450" s="4"/>
    </row>
    <row r="451" spans="1:32" x14ac:dyDescent="0.2">
      <c r="A451" s="5">
        <v>-8</v>
      </c>
      <c r="B451" s="6" t="s">
        <v>4</v>
      </c>
      <c r="C451" s="6" t="s">
        <v>4</v>
      </c>
      <c r="D451" s="6" t="s">
        <v>8</v>
      </c>
      <c r="E451" s="5">
        <v>818</v>
      </c>
      <c r="F451" s="6" t="s">
        <v>145</v>
      </c>
      <c r="G451" s="9" t="s">
        <v>9</v>
      </c>
      <c r="H451" s="9" t="s">
        <v>9</v>
      </c>
      <c r="I451" s="6" t="s">
        <v>2</v>
      </c>
      <c r="L451" s="18">
        <v>3.81</v>
      </c>
      <c r="M451" s="19">
        <v>0</v>
      </c>
      <c r="N451" s="18">
        <v>0</v>
      </c>
      <c r="T451" s="4"/>
      <c r="U451" s="4"/>
      <c r="V451" s="4"/>
      <c r="W451" s="4"/>
      <c r="X451" s="4"/>
      <c r="Y451" s="4"/>
      <c r="Z451" s="4"/>
      <c r="AA451" s="4"/>
      <c r="AD451" s="20" t="str">
        <f>IF((B451="")+(B451="Vacante")+(D451=""),"",IFERROR(MATCH(D451,{"Oficinas";"Locales";"Estacionamientos";"Bodegas"},0),5)&amp;"|"&amp;B451&amp;"|"&amp;TEXT(G451,"yyyymmdd")&amp;"|"&amp;TEXT(H451,"yyyymmdd"))</f>
        <v/>
      </c>
      <c r="AE451" s="4"/>
      <c r="AF451" s="4"/>
    </row>
    <row r="452" spans="1:32" x14ac:dyDescent="0.2">
      <c r="A452" s="5">
        <v>-8</v>
      </c>
      <c r="B452" s="6" t="s">
        <v>4</v>
      </c>
      <c r="C452" s="6" t="s">
        <v>4</v>
      </c>
      <c r="D452" s="6" t="s">
        <v>8</v>
      </c>
      <c r="E452" s="5">
        <v>819</v>
      </c>
      <c r="G452" s="9" t="s">
        <v>9</v>
      </c>
      <c r="H452" s="9" t="s">
        <v>9</v>
      </c>
      <c r="I452" s="6" t="s">
        <v>2</v>
      </c>
      <c r="L452" s="18">
        <v>3.4</v>
      </c>
      <c r="M452" s="19">
        <v>0</v>
      </c>
      <c r="N452" s="18">
        <v>0</v>
      </c>
      <c r="T452" s="4"/>
      <c r="U452" s="4"/>
      <c r="V452" s="4"/>
      <c r="W452" s="4"/>
      <c r="X452" s="4"/>
      <c r="Y452" s="4"/>
      <c r="Z452" s="4"/>
      <c r="AA452" s="4"/>
      <c r="AD452" s="20" t="str">
        <f>IF((B452="")+(B452="Vacante")+(D452=""),"",IFERROR(MATCH(D452,{"Oficinas";"Locales";"Estacionamientos";"Bodegas"},0),5)&amp;"|"&amp;B452&amp;"|"&amp;TEXT(G452,"yyyymmdd")&amp;"|"&amp;TEXT(H452,"yyyymmdd"))</f>
        <v/>
      </c>
      <c r="AE452" s="4"/>
      <c r="AF452" s="4"/>
    </row>
    <row r="453" spans="1:32" x14ac:dyDescent="0.2">
      <c r="A453" s="5">
        <v>-8</v>
      </c>
      <c r="B453" s="6" t="s">
        <v>4</v>
      </c>
      <c r="C453" s="6" t="s">
        <v>4</v>
      </c>
      <c r="D453" s="6" t="s">
        <v>8</v>
      </c>
      <c r="E453" s="5">
        <v>820</v>
      </c>
      <c r="G453" s="9" t="s">
        <v>9</v>
      </c>
      <c r="H453" s="9" t="s">
        <v>9</v>
      </c>
      <c r="I453" s="6" t="s">
        <v>2</v>
      </c>
      <c r="L453" s="18">
        <v>13.25</v>
      </c>
      <c r="M453" s="19">
        <v>0</v>
      </c>
      <c r="N453" s="18">
        <v>0</v>
      </c>
      <c r="T453" s="4"/>
      <c r="U453" s="4"/>
      <c r="V453" s="4"/>
      <c r="W453" s="4"/>
      <c r="X453" s="4"/>
      <c r="Y453" s="4"/>
      <c r="Z453" s="4"/>
      <c r="AA453" s="4"/>
      <c r="AD453" s="20" t="str">
        <f>IF((B453="")+(B453="Vacante")+(D453=""),"",IFERROR(MATCH(D453,{"Oficinas";"Locales";"Estacionamientos";"Bodegas"},0),5)&amp;"|"&amp;B453&amp;"|"&amp;TEXT(G453,"yyyymmdd")&amp;"|"&amp;TEXT(H453,"yyyymmdd"))</f>
        <v/>
      </c>
      <c r="AE453" s="4"/>
      <c r="AF453" s="4"/>
    </row>
    <row r="454" spans="1:32" x14ac:dyDescent="0.2">
      <c r="A454" s="5">
        <v>-8</v>
      </c>
      <c r="B454" s="6" t="s">
        <v>4</v>
      </c>
      <c r="C454" s="6" t="s">
        <v>4</v>
      </c>
      <c r="D454" s="6" t="s">
        <v>8</v>
      </c>
      <c r="E454" s="5">
        <v>821</v>
      </c>
      <c r="G454" s="9" t="s">
        <v>9</v>
      </c>
      <c r="H454" s="9" t="s">
        <v>9</v>
      </c>
      <c r="I454" s="6" t="s">
        <v>2</v>
      </c>
      <c r="L454" s="18">
        <v>37.450000000000003</v>
      </c>
      <c r="M454" s="19">
        <v>0</v>
      </c>
      <c r="N454" s="18">
        <v>0</v>
      </c>
      <c r="T454" s="4"/>
      <c r="U454" s="4"/>
      <c r="V454" s="4"/>
      <c r="W454" s="4"/>
      <c r="X454" s="4"/>
      <c r="Y454" s="4"/>
      <c r="Z454" s="4"/>
      <c r="AA454" s="4"/>
      <c r="AD454" s="20" t="str">
        <f>IF((B454="")+(B454="Vacante")+(D454=""),"",IFERROR(MATCH(D454,{"Oficinas";"Locales";"Estacionamientos";"Bodegas"},0),5)&amp;"|"&amp;B454&amp;"|"&amp;TEXT(G454,"yyyymmdd")&amp;"|"&amp;TEXT(H454,"yyyymmdd"))</f>
        <v/>
      </c>
      <c r="AE454" s="4"/>
      <c r="AF454" s="4"/>
    </row>
    <row r="455" spans="1:32" x14ac:dyDescent="0.2">
      <c r="A455" s="5">
        <v>-8</v>
      </c>
      <c r="B455" s="6" t="s">
        <v>4</v>
      </c>
      <c r="C455" s="6" t="s">
        <v>4</v>
      </c>
      <c r="D455" s="6" t="s">
        <v>8</v>
      </c>
      <c r="E455" s="5">
        <v>822</v>
      </c>
      <c r="G455" s="9" t="s">
        <v>9</v>
      </c>
      <c r="H455" s="9" t="s">
        <v>9</v>
      </c>
      <c r="I455" s="6" t="s">
        <v>2</v>
      </c>
      <c r="L455" s="18">
        <v>18.260000000000002</v>
      </c>
      <c r="M455" s="19">
        <v>0</v>
      </c>
      <c r="N455" s="18">
        <v>0</v>
      </c>
      <c r="T455" s="4"/>
      <c r="U455" s="4"/>
      <c r="V455" s="4"/>
      <c r="W455" s="4"/>
      <c r="X455" s="4"/>
      <c r="Y455" s="4"/>
      <c r="Z455" s="4"/>
      <c r="AA455" s="4"/>
      <c r="AD455" s="20" t="str">
        <f>IF((B455="")+(B455="Vacante")+(D455=""),"",IFERROR(MATCH(D455,{"Oficinas";"Locales";"Estacionamientos";"Bodegas"},0),5)&amp;"|"&amp;B455&amp;"|"&amp;TEXT(G455,"yyyymmdd")&amp;"|"&amp;TEXT(H455,"yyyymmdd"))</f>
        <v/>
      </c>
      <c r="AE455" s="4"/>
      <c r="AF455" s="4"/>
    </row>
    <row r="456" spans="1:32" x14ac:dyDescent="0.2">
      <c r="A456" s="5">
        <v>-8</v>
      </c>
      <c r="B456" s="6" t="s">
        <v>4</v>
      </c>
      <c r="C456" s="6" t="s">
        <v>4</v>
      </c>
      <c r="D456" s="6" t="s">
        <v>8</v>
      </c>
      <c r="E456" s="5">
        <v>823</v>
      </c>
      <c r="F456" s="6" t="s">
        <v>146</v>
      </c>
      <c r="G456" s="9" t="s">
        <v>9</v>
      </c>
      <c r="H456" s="9" t="s">
        <v>9</v>
      </c>
      <c r="I456" s="6" t="s">
        <v>2</v>
      </c>
      <c r="L456" s="18">
        <v>6.86</v>
      </c>
      <c r="M456" s="19">
        <v>0</v>
      </c>
      <c r="N456" s="18">
        <v>0</v>
      </c>
      <c r="T456" s="4"/>
      <c r="U456" s="4"/>
      <c r="V456" s="4"/>
      <c r="W456" s="4"/>
      <c r="X456" s="4"/>
      <c r="Y456" s="4"/>
      <c r="Z456" s="4"/>
      <c r="AA456" s="4"/>
      <c r="AD456" s="20" t="str">
        <f>IF((B456="")+(B456="Vacante")+(D456=""),"",IFERROR(MATCH(D456,{"Oficinas";"Locales";"Estacionamientos";"Bodegas"},0),5)&amp;"|"&amp;B456&amp;"|"&amp;TEXT(G456,"yyyymmdd")&amp;"|"&amp;TEXT(H456,"yyyymmdd"))</f>
        <v/>
      </c>
      <c r="AE456" s="4"/>
      <c r="AF456" s="4"/>
    </row>
    <row r="457" spans="1:32" x14ac:dyDescent="0.2">
      <c r="A457" s="5">
        <v>-8</v>
      </c>
      <c r="B457" s="6" t="s">
        <v>147</v>
      </c>
      <c r="C457" s="6" t="s">
        <v>147</v>
      </c>
      <c r="D457" s="6" t="s">
        <v>10</v>
      </c>
      <c r="E457" s="5">
        <v>8001</v>
      </c>
      <c r="G457" s="9" t="s">
        <v>9</v>
      </c>
      <c r="H457" s="9">
        <v>46081</v>
      </c>
      <c r="I457" s="6" t="s">
        <v>2</v>
      </c>
      <c r="L457" s="18">
        <v>1</v>
      </c>
      <c r="M457" s="19">
        <v>0.84</v>
      </c>
      <c r="N457" s="18">
        <v>0.84</v>
      </c>
      <c r="T457" s="4"/>
      <c r="U457" s="4"/>
      <c r="V457" s="4"/>
      <c r="W457" s="4"/>
      <c r="X457" s="4"/>
      <c r="Y457" s="4"/>
      <c r="Z457" s="4"/>
      <c r="AA457" s="4"/>
      <c r="AD457" s="20" t="str">
        <f>IF((B457="")+(B457="Vacante")+(D457=""),"",IFERROR(MATCH(D457,{"Oficinas";"Locales";"Estacionamientos";"Bodegas"},0),5)&amp;"|"&amp;B457&amp;"|"&amp;TEXT(G457,"yyyymmdd")&amp;"|"&amp;TEXT(H457,"yyyymmdd"))</f>
        <v>3|CENTRAL PARKIING SYSTEM CHILE|-|20260228</v>
      </c>
      <c r="AE457" s="4"/>
      <c r="AF457" s="4"/>
    </row>
    <row r="458" spans="1:32" x14ac:dyDescent="0.2">
      <c r="A458" s="5">
        <v>-8</v>
      </c>
      <c r="B458" s="6" t="s">
        <v>147</v>
      </c>
      <c r="C458" s="6" t="s">
        <v>147</v>
      </c>
      <c r="D458" s="6" t="s">
        <v>10</v>
      </c>
      <c r="E458" s="5">
        <v>8002</v>
      </c>
      <c r="G458" s="9" t="s">
        <v>9</v>
      </c>
      <c r="H458" s="9">
        <v>46081</v>
      </c>
      <c r="I458" s="6" t="s">
        <v>2</v>
      </c>
      <c r="L458" s="18">
        <v>1</v>
      </c>
      <c r="M458" s="19">
        <v>0.84</v>
      </c>
      <c r="N458" s="18">
        <v>0.84</v>
      </c>
      <c r="T458" s="4"/>
      <c r="U458" s="4"/>
      <c r="V458" s="4"/>
      <c r="W458" s="4"/>
      <c r="X458" s="4"/>
      <c r="Y458" s="4"/>
      <c r="Z458" s="4"/>
      <c r="AA458" s="4"/>
      <c r="AD458" s="20" t="str">
        <f>IF((B458="")+(B458="Vacante")+(D458=""),"",IFERROR(MATCH(D458,{"Oficinas";"Locales";"Estacionamientos";"Bodegas"},0),5)&amp;"|"&amp;B458&amp;"|"&amp;TEXT(G458,"yyyymmdd")&amp;"|"&amp;TEXT(H458,"yyyymmdd"))</f>
        <v>3|CENTRAL PARKIING SYSTEM CHILE|-|20260228</v>
      </c>
      <c r="AE458" s="4"/>
      <c r="AF458" s="4"/>
    </row>
    <row r="459" spans="1:32" x14ac:dyDescent="0.2">
      <c r="A459" s="5">
        <v>-8</v>
      </c>
      <c r="B459" s="6" t="s">
        <v>147</v>
      </c>
      <c r="C459" s="6" t="s">
        <v>147</v>
      </c>
      <c r="D459" s="6" t="s">
        <v>10</v>
      </c>
      <c r="E459" s="5">
        <v>8003</v>
      </c>
      <c r="G459" s="9" t="s">
        <v>9</v>
      </c>
      <c r="H459" s="9">
        <v>46081</v>
      </c>
      <c r="I459" s="6" t="s">
        <v>2</v>
      </c>
      <c r="L459" s="18">
        <v>1</v>
      </c>
      <c r="M459" s="19">
        <v>0.84</v>
      </c>
      <c r="N459" s="18">
        <v>0.84</v>
      </c>
      <c r="T459" s="4"/>
      <c r="U459" s="4"/>
      <c r="V459" s="4"/>
      <c r="W459" s="4"/>
      <c r="X459" s="4"/>
      <c r="Y459" s="4"/>
      <c r="Z459" s="4"/>
      <c r="AA459" s="4"/>
      <c r="AD459" s="20" t="str">
        <f>IF((B459="")+(B459="Vacante")+(D459=""),"",IFERROR(MATCH(D459,{"Oficinas";"Locales";"Estacionamientos";"Bodegas"},0),5)&amp;"|"&amp;B459&amp;"|"&amp;TEXT(G459,"yyyymmdd")&amp;"|"&amp;TEXT(H459,"yyyymmdd"))</f>
        <v>3|CENTRAL PARKIING SYSTEM CHILE|-|20260228</v>
      </c>
      <c r="AE459" s="4"/>
      <c r="AF459" s="4"/>
    </row>
    <row r="460" spans="1:32" x14ac:dyDescent="0.2">
      <c r="A460" s="5">
        <v>-8</v>
      </c>
      <c r="B460" s="6" t="s">
        <v>147</v>
      </c>
      <c r="C460" s="6" t="s">
        <v>147</v>
      </c>
      <c r="D460" s="6" t="s">
        <v>10</v>
      </c>
      <c r="E460" s="5">
        <v>8004</v>
      </c>
      <c r="G460" s="9" t="s">
        <v>9</v>
      </c>
      <c r="H460" s="9">
        <v>46081</v>
      </c>
      <c r="I460" s="6" t="s">
        <v>2</v>
      </c>
      <c r="L460" s="18">
        <v>1</v>
      </c>
      <c r="M460" s="19">
        <v>0.84</v>
      </c>
      <c r="N460" s="18">
        <v>0.84</v>
      </c>
      <c r="T460" s="4"/>
      <c r="U460" s="4"/>
      <c r="V460" s="4"/>
      <c r="W460" s="4"/>
      <c r="X460" s="4"/>
      <c r="Y460" s="4"/>
      <c r="Z460" s="4"/>
      <c r="AA460" s="4"/>
      <c r="AD460" s="20" t="str">
        <f>IF((B460="")+(B460="Vacante")+(D460=""),"",IFERROR(MATCH(D460,{"Oficinas";"Locales";"Estacionamientos";"Bodegas"},0),5)&amp;"|"&amp;B460&amp;"|"&amp;TEXT(G460,"yyyymmdd")&amp;"|"&amp;TEXT(H460,"yyyymmdd"))</f>
        <v>3|CENTRAL PARKIING SYSTEM CHILE|-|20260228</v>
      </c>
      <c r="AE460" s="4"/>
      <c r="AF460" s="4"/>
    </row>
    <row r="461" spans="1:32" x14ac:dyDescent="0.2">
      <c r="A461" s="5">
        <v>-8</v>
      </c>
      <c r="B461" s="6" t="s">
        <v>147</v>
      </c>
      <c r="C461" s="6" t="s">
        <v>147</v>
      </c>
      <c r="D461" s="6" t="s">
        <v>10</v>
      </c>
      <c r="E461" s="5">
        <v>8005</v>
      </c>
      <c r="G461" s="9" t="s">
        <v>9</v>
      </c>
      <c r="H461" s="9">
        <v>46081</v>
      </c>
      <c r="I461" s="6" t="s">
        <v>2</v>
      </c>
      <c r="L461" s="18">
        <v>1</v>
      </c>
      <c r="M461" s="19">
        <v>0.84</v>
      </c>
      <c r="N461" s="18">
        <v>0.84</v>
      </c>
      <c r="T461" s="4"/>
      <c r="U461" s="4"/>
      <c r="V461" s="4"/>
      <c r="W461" s="4"/>
      <c r="X461" s="4"/>
      <c r="Y461" s="4"/>
      <c r="Z461" s="4"/>
      <c r="AA461" s="4"/>
      <c r="AD461" s="20" t="str">
        <f>IF((B461="")+(B461="Vacante")+(D461=""),"",IFERROR(MATCH(D461,{"Oficinas";"Locales";"Estacionamientos";"Bodegas"},0),5)&amp;"|"&amp;B461&amp;"|"&amp;TEXT(G461,"yyyymmdd")&amp;"|"&amp;TEXT(H461,"yyyymmdd"))</f>
        <v>3|CENTRAL PARKIING SYSTEM CHILE|-|20260228</v>
      </c>
      <c r="AE461" s="4"/>
      <c r="AF461" s="4"/>
    </row>
    <row r="462" spans="1:32" x14ac:dyDescent="0.2">
      <c r="A462" s="5">
        <v>-8</v>
      </c>
      <c r="B462" s="6" t="s">
        <v>147</v>
      </c>
      <c r="C462" s="6" t="s">
        <v>147</v>
      </c>
      <c r="D462" s="6" t="s">
        <v>10</v>
      </c>
      <c r="E462" s="5">
        <v>8006</v>
      </c>
      <c r="G462" s="9" t="s">
        <v>9</v>
      </c>
      <c r="H462" s="9">
        <v>46081</v>
      </c>
      <c r="I462" s="6" t="s">
        <v>2</v>
      </c>
      <c r="L462" s="18">
        <v>1</v>
      </c>
      <c r="M462" s="19">
        <v>0.84</v>
      </c>
      <c r="N462" s="18">
        <v>0.84</v>
      </c>
      <c r="T462" s="4"/>
      <c r="U462" s="4"/>
      <c r="V462" s="4"/>
      <c r="W462" s="4"/>
      <c r="X462" s="4"/>
      <c r="Y462" s="4"/>
      <c r="Z462" s="4"/>
      <c r="AA462" s="4"/>
      <c r="AD462" s="20" t="str">
        <f>IF((B462="")+(B462="Vacante")+(D462=""),"",IFERROR(MATCH(D462,{"Oficinas";"Locales";"Estacionamientos";"Bodegas"},0),5)&amp;"|"&amp;B462&amp;"|"&amp;TEXT(G462,"yyyymmdd")&amp;"|"&amp;TEXT(H462,"yyyymmdd"))</f>
        <v>3|CENTRAL PARKIING SYSTEM CHILE|-|20260228</v>
      </c>
      <c r="AE462" s="4"/>
      <c r="AF462" s="4"/>
    </row>
    <row r="463" spans="1:32" x14ac:dyDescent="0.2">
      <c r="A463" s="5">
        <v>-8</v>
      </c>
      <c r="B463" s="6" t="s">
        <v>147</v>
      </c>
      <c r="C463" s="6" t="s">
        <v>147</v>
      </c>
      <c r="D463" s="6" t="s">
        <v>10</v>
      </c>
      <c r="E463" s="5">
        <v>8007</v>
      </c>
      <c r="G463" s="9" t="s">
        <v>9</v>
      </c>
      <c r="H463" s="9">
        <v>46081</v>
      </c>
      <c r="I463" s="6" t="s">
        <v>2</v>
      </c>
      <c r="L463" s="18">
        <v>1</v>
      </c>
      <c r="M463" s="19">
        <v>0.84</v>
      </c>
      <c r="N463" s="18">
        <v>0.84</v>
      </c>
      <c r="T463" s="4"/>
      <c r="U463" s="4"/>
      <c r="V463" s="4"/>
      <c r="W463" s="4"/>
      <c r="X463" s="4"/>
      <c r="Y463" s="4"/>
      <c r="Z463" s="4"/>
      <c r="AA463" s="4"/>
      <c r="AD463" s="20" t="str">
        <f>IF((B463="")+(B463="Vacante")+(D463=""),"",IFERROR(MATCH(D463,{"Oficinas";"Locales";"Estacionamientos";"Bodegas"},0),5)&amp;"|"&amp;B463&amp;"|"&amp;TEXT(G463,"yyyymmdd")&amp;"|"&amp;TEXT(H463,"yyyymmdd"))</f>
        <v>3|CENTRAL PARKIING SYSTEM CHILE|-|20260228</v>
      </c>
      <c r="AE463" s="4"/>
      <c r="AF463" s="4"/>
    </row>
    <row r="464" spans="1:32" x14ac:dyDescent="0.2">
      <c r="A464" s="5">
        <v>-8</v>
      </c>
      <c r="B464" s="6" t="s">
        <v>147</v>
      </c>
      <c r="C464" s="6" t="s">
        <v>147</v>
      </c>
      <c r="D464" s="6" t="s">
        <v>10</v>
      </c>
      <c r="E464" s="5">
        <v>8008</v>
      </c>
      <c r="G464" s="9" t="s">
        <v>9</v>
      </c>
      <c r="H464" s="9">
        <v>46081</v>
      </c>
      <c r="I464" s="6" t="s">
        <v>2</v>
      </c>
      <c r="L464" s="18">
        <v>1</v>
      </c>
      <c r="M464" s="19">
        <v>0.84</v>
      </c>
      <c r="N464" s="18">
        <v>0.84</v>
      </c>
      <c r="T464" s="4"/>
      <c r="U464" s="4"/>
      <c r="V464" s="4"/>
      <c r="W464" s="4"/>
      <c r="X464" s="4"/>
      <c r="Y464" s="4"/>
      <c r="Z464" s="4"/>
      <c r="AA464" s="4"/>
      <c r="AD464" s="20" t="str">
        <f>IF((B464="")+(B464="Vacante")+(D464=""),"",IFERROR(MATCH(D464,{"Oficinas";"Locales";"Estacionamientos";"Bodegas"},0),5)&amp;"|"&amp;B464&amp;"|"&amp;TEXT(G464,"yyyymmdd")&amp;"|"&amp;TEXT(H464,"yyyymmdd"))</f>
        <v>3|CENTRAL PARKIING SYSTEM CHILE|-|20260228</v>
      </c>
      <c r="AE464" s="4"/>
      <c r="AF464" s="4"/>
    </row>
    <row r="465" spans="1:32" x14ac:dyDescent="0.2">
      <c r="A465" s="5">
        <v>-8</v>
      </c>
      <c r="B465" s="6" t="s">
        <v>147</v>
      </c>
      <c r="C465" s="6" t="s">
        <v>147</v>
      </c>
      <c r="D465" s="6" t="s">
        <v>10</v>
      </c>
      <c r="E465" s="5">
        <v>8009</v>
      </c>
      <c r="G465" s="9" t="s">
        <v>9</v>
      </c>
      <c r="H465" s="9">
        <v>46081</v>
      </c>
      <c r="I465" s="6" t="s">
        <v>2</v>
      </c>
      <c r="L465" s="18">
        <v>1</v>
      </c>
      <c r="M465" s="19">
        <v>0.84</v>
      </c>
      <c r="N465" s="18">
        <v>0.84</v>
      </c>
      <c r="T465" s="4"/>
      <c r="U465" s="4"/>
      <c r="V465" s="4"/>
      <c r="W465" s="4"/>
      <c r="X465" s="4"/>
      <c r="Y465" s="4"/>
      <c r="Z465" s="4"/>
      <c r="AA465" s="4"/>
      <c r="AD465" s="20" t="str">
        <f>IF((B465="")+(B465="Vacante")+(D465=""),"",IFERROR(MATCH(D465,{"Oficinas";"Locales";"Estacionamientos";"Bodegas"},0),5)&amp;"|"&amp;B465&amp;"|"&amp;TEXT(G465,"yyyymmdd")&amp;"|"&amp;TEXT(H465,"yyyymmdd"))</f>
        <v>3|CENTRAL PARKIING SYSTEM CHILE|-|20260228</v>
      </c>
      <c r="AE465" s="4"/>
      <c r="AF465" s="4"/>
    </row>
    <row r="466" spans="1:32" x14ac:dyDescent="0.2">
      <c r="A466" s="5">
        <v>-8</v>
      </c>
      <c r="B466" s="6" t="s">
        <v>147</v>
      </c>
      <c r="C466" s="6" t="s">
        <v>147</v>
      </c>
      <c r="D466" s="6" t="s">
        <v>10</v>
      </c>
      <c r="E466" s="5">
        <v>8010</v>
      </c>
      <c r="G466" s="9" t="s">
        <v>9</v>
      </c>
      <c r="H466" s="9">
        <v>46081</v>
      </c>
      <c r="I466" s="6" t="s">
        <v>2</v>
      </c>
      <c r="L466" s="18">
        <v>1</v>
      </c>
      <c r="M466" s="19">
        <v>0.84</v>
      </c>
      <c r="N466" s="18">
        <v>0.84</v>
      </c>
      <c r="T466" s="4"/>
      <c r="U466" s="4"/>
      <c r="V466" s="4"/>
      <c r="W466" s="4"/>
      <c r="X466" s="4"/>
      <c r="Y466" s="4"/>
      <c r="Z466" s="4"/>
      <c r="AA466" s="4"/>
      <c r="AD466" s="20" t="str">
        <f>IF((B466="")+(B466="Vacante")+(D466=""),"",IFERROR(MATCH(D466,{"Oficinas";"Locales";"Estacionamientos";"Bodegas"},0),5)&amp;"|"&amp;B466&amp;"|"&amp;TEXT(G466,"yyyymmdd")&amp;"|"&amp;TEXT(H466,"yyyymmdd"))</f>
        <v>3|CENTRAL PARKIING SYSTEM CHILE|-|20260228</v>
      </c>
      <c r="AE466" s="4"/>
      <c r="AF466" s="4"/>
    </row>
    <row r="467" spans="1:32" x14ac:dyDescent="0.2">
      <c r="A467" s="5">
        <v>-8</v>
      </c>
      <c r="B467" s="6" t="s">
        <v>147</v>
      </c>
      <c r="C467" s="6" t="s">
        <v>147</v>
      </c>
      <c r="D467" s="6" t="s">
        <v>10</v>
      </c>
      <c r="E467" s="5">
        <v>8011</v>
      </c>
      <c r="G467" s="9" t="s">
        <v>9</v>
      </c>
      <c r="H467" s="9">
        <v>46081</v>
      </c>
      <c r="I467" s="6" t="s">
        <v>2</v>
      </c>
      <c r="L467" s="18">
        <v>1</v>
      </c>
      <c r="M467" s="19">
        <v>0.84</v>
      </c>
      <c r="N467" s="18">
        <v>0.84</v>
      </c>
      <c r="T467" s="4"/>
      <c r="U467" s="4"/>
      <c r="V467" s="4"/>
      <c r="W467" s="4"/>
      <c r="X467" s="4"/>
      <c r="Y467" s="4"/>
      <c r="Z467" s="4"/>
      <c r="AA467" s="4"/>
      <c r="AD467" s="20" t="str">
        <f>IF((B467="")+(B467="Vacante")+(D467=""),"",IFERROR(MATCH(D467,{"Oficinas";"Locales";"Estacionamientos";"Bodegas"},0),5)&amp;"|"&amp;B467&amp;"|"&amp;TEXT(G467,"yyyymmdd")&amp;"|"&amp;TEXT(H467,"yyyymmdd"))</f>
        <v>3|CENTRAL PARKIING SYSTEM CHILE|-|20260228</v>
      </c>
      <c r="AE467" s="4"/>
      <c r="AF467" s="4"/>
    </row>
    <row r="468" spans="1:32" x14ac:dyDescent="0.2">
      <c r="A468" s="5">
        <v>-8</v>
      </c>
      <c r="B468" s="6" t="s">
        <v>147</v>
      </c>
      <c r="C468" s="6" t="s">
        <v>147</v>
      </c>
      <c r="D468" s="6" t="s">
        <v>10</v>
      </c>
      <c r="E468" s="5">
        <v>8012</v>
      </c>
      <c r="G468" s="9" t="s">
        <v>9</v>
      </c>
      <c r="H468" s="9">
        <v>46081</v>
      </c>
      <c r="I468" s="6" t="s">
        <v>2</v>
      </c>
      <c r="L468" s="18">
        <v>1</v>
      </c>
      <c r="M468" s="19">
        <v>0.84</v>
      </c>
      <c r="N468" s="18">
        <v>0.84</v>
      </c>
      <c r="T468" s="4"/>
      <c r="U468" s="4"/>
      <c r="V468" s="4"/>
      <c r="W468" s="4"/>
      <c r="X468" s="4"/>
      <c r="Y468" s="4"/>
      <c r="Z468" s="4"/>
      <c r="AA468" s="4"/>
      <c r="AD468" s="20" t="str">
        <f>IF((B468="")+(B468="Vacante")+(D468=""),"",IFERROR(MATCH(D468,{"Oficinas";"Locales";"Estacionamientos";"Bodegas"},0),5)&amp;"|"&amp;B468&amp;"|"&amp;TEXT(G468,"yyyymmdd")&amp;"|"&amp;TEXT(H468,"yyyymmdd"))</f>
        <v>3|CENTRAL PARKIING SYSTEM CHILE|-|20260228</v>
      </c>
      <c r="AE468" s="4"/>
      <c r="AF468" s="4"/>
    </row>
    <row r="469" spans="1:32" x14ac:dyDescent="0.2">
      <c r="A469" s="5">
        <v>-8</v>
      </c>
      <c r="B469" s="6" t="s">
        <v>147</v>
      </c>
      <c r="C469" s="6" t="s">
        <v>147</v>
      </c>
      <c r="D469" s="6" t="s">
        <v>10</v>
      </c>
      <c r="E469" s="5">
        <v>8013</v>
      </c>
      <c r="G469" s="9" t="s">
        <v>9</v>
      </c>
      <c r="H469" s="9">
        <v>46081</v>
      </c>
      <c r="I469" s="6" t="s">
        <v>2</v>
      </c>
      <c r="L469" s="18">
        <v>1</v>
      </c>
      <c r="M469" s="19">
        <v>0.84</v>
      </c>
      <c r="N469" s="18">
        <v>0.84</v>
      </c>
      <c r="T469" s="4"/>
      <c r="U469" s="4"/>
      <c r="V469" s="4"/>
      <c r="W469" s="4"/>
      <c r="X469" s="4"/>
      <c r="Y469" s="4"/>
      <c r="Z469" s="4"/>
      <c r="AA469" s="4"/>
      <c r="AD469" s="20" t="str">
        <f>IF((B469="")+(B469="Vacante")+(D469=""),"",IFERROR(MATCH(D469,{"Oficinas";"Locales";"Estacionamientos";"Bodegas"},0),5)&amp;"|"&amp;B469&amp;"|"&amp;TEXT(G469,"yyyymmdd")&amp;"|"&amp;TEXT(H469,"yyyymmdd"))</f>
        <v>3|CENTRAL PARKIING SYSTEM CHILE|-|20260228</v>
      </c>
      <c r="AE469" s="4"/>
      <c r="AF469" s="4"/>
    </row>
    <row r="470" spans="1:32" x14ac:dyDescent="0.2">
      <c r="A470" s="5">
        <v>-8</v>
      </c>
      <c r="B470" s="6" t="s">
        <v>147</v>
      </c>
      <c r="C470" s="6" t="s">
        <v>147</v>
      </c>
      <c r="D470" s="6" t="s">
        <v>10</v>
      </c>
      <c r="E470" s="5">
        <v>8014</v>
      </c>
      <c r="G470" s="9" t="s">
        <v>9</v>
      </c>
      <c r="H470" s="9">
        <v>46081</v>
      </c>
      <c r="I470" s="6" t="s">
        <v>2</v>
      </c>
      <c r="L470" s="18">
        <v>1</v>
      </c>
      <c r="M470" s="19">
        <v>0.84</v>
      </c>
      <c r="N470" s="18">
        <v>0.84</v>
      </c>
      <c r="T470" s="4"/>
      <c r="U470" s="4"/>
      <c r="V470" s="4"/>
      <c r="W470" s="4"/>
      <c r="X470" s="4"/>
      <c r="Y470" s="4"/>
      <c r="Z470" s="4"/>
      <c r="AA470" s="4"/>
      <c r="AD470" s="20" t="str">
        <f>IF((B470="")+(B470="Vacante")+(D470=""),"",IFERROR(MATCH(D470,{"Oficinas";"Locales";"Estacionamientos";"Bodegas"},0),5)&amp;"|"&amp;B470&amp;"|"&amp;TEXT(G470,"yyyymmdd")&amp;"|"&amp;TEXT(H470,"yyyymmdd"))</f>
        <v>3|CENTRAL PARKIING SYSTEM CHILE|-|20260228</v>
      </c>
      <c r="AE470" s="4"/>
      <c r="AF470" s="4"/>
    </row>
    <row r="471" spans="1:32" x14ac:dyDescent="0.2">
      <c r="A471" s="5">
        <v>-8</v>
      </c>
      <c r="B471" s="6" t="s">
        <v>147</v>
      </c>
      <c r="C471" s="6" t="s">
        <v>147</v>
      </c>
      <c r="D471" s="6" t="s">
        <v>10</v>
      </c>
      <c r="E471" s="5">
        <v>8015</v>
      </c>
      <c r="G471" s="9" t="s">
        <v>9</v>
      </c>
      <c r="H471" s="9">
        <v>46081</v>
      </c>
      <c r="I471" s="6" t="s">
        <v>2</v>
      </c>
      <c r="L471" s="18">
        <v>1</v>
      </c>
      <c r="M471" s="19">
        <v>0.84</v>
      </c>
      <c r="N471" s="18">
        <v>0.84</v>
      </c>
      <c r="T471" s="4"/>
      <c r="U471" s="4"/>
      <c r="V471" s="4"/>
      <c r="W471" s="4"/>
      <c r="X471" s="4"/>
      <c r="Y471" s="4"/>
      <c r="Z471" s="4"/>
      <c r="AA471" s="4"/>
      <c r="AD471" s="20" t="str">
        <f>IF((B471="")+(B471="Vacante")+(D471=""),"",IFERROR(MATCH(D471,{"Oficinas";"Locales";"Estacionamientos";"Bodegas"},0),5)&amp;"|"&amp;B471&amp;"|"&amp;TEXT(G471,"yyyymmdd")&amp;"|"&amp;TEXT(H471,"yyyymmdd"))</f>
        <v>3|CENTRAL PARKIING SYSTEM CHILE|-|20260228</v>
      </c>
      <c r="AE471" s="4"/>
      <c r="AF471" s="4"/>
    </row>
    <row r="472" spans="1:32" x14ac:dyDescent="0.2">
      <c r="A472" s="5">
        <v>-8</v>
      </c>
      <c r="B472" s="6" t="s">
        <v>147</v>
      </c>
      <c r="C472" s="6" t="s">
        <v>147</v>
      </c>
      <c r="D472" s="6" t="s">
        <v>10</v>
      </c>
      <c r="E472" s="5">
        <v>8016</v>
      </c>
      <c r="G472" s="9" t="s">
        <v>9</v>
      </c>
      <c r="H472" s="9">
        <v>46081</v>
      </c>
      <c r="I472" s="6" t="s">
        <v>2</v>
      </c>
      <c r="L472" s="18">
        <v>1</v>
      </c>
      <c r="M472" s="19">
        <v>0.84</v>
      </c>
      <c r="N472" s="18">
        <v>0.84</v>
      </c>
      <c r="T472" s="4"/>
      <c r="U472" s="4"/>
      <c r="V472" s="4"/>
      <c r="W472" s="4"/>
      <c r="X472" s="4"/>
      <c r="Y472" s="4"/>
      <c r="Z472" s="4"/>
      <c r="AA472" s="4"/>
      <c r="AD472" s="20" t="str">
        <f>IF((B472="")+(B472="Vacante")+(D472=""),"",IFERROR(MATCH(D472,{"Oficinas";"Locales";"Estacionamientos";"Bodegas"},0),5)&amp;"|"&amp;B472&amp;"|"&amp;TEXT(G472,"yyyymmdd")&amp;"|"&amp;TEXT(H472,"yyyymmdd"))</f>
        <v>3|CENTRAL PARKIING SYSTEM CHILE|-|20260228</v>
      </c>
      <c r="AE472" s="4"/>
      <c r="AF472" s="4"/>
    </row>
    <row r="473" spans="1:32" x14ac:dyDescent="0.2">
      <c r="A473" s="5">
        <v>-8</v>
      </c>
      <c r="B473" s="6" t="s">
        <v>147</v>
      </c>
      <c r="C473" s="6" t="s">
        <v>147</v>
      </c>
      <c r="D473" s="6" t="s">
        <v>10</v>
      </c>
      <c r="E473" s="5">
        <v>8017</v>
      </c>
      <c r="G473" s="9" t="s">
        <v>9</v>
      </c>
      <c r="H473" s="9">
        <v>46081</v>
      </c>
      <c r="I473" s="6" t="s">
        <v>2</v>
      </c>
      <c r="L473" s="18">
        <v>1</v>
      </c>
      <c r="M473" s="19">
        <v>0.84</v>
      </c>
      <c r="N473" s="18">
        <v>0.84</v>
      </c>
      <c r="T473" s="4"/>
      <c r="U473" s="4"/>
      <c r="V473" s="4"/>
      <c r="W473" s="4"/>
      <c r="X473" s="4"/>
      <c r="Y473" s="4"/>
      <c r="Z473" s="4"/>
      <c r="AA473" s="4"/>
      <c r="AD473" s="20" t="str">
        <f>IF((B473="")+(B473="Vacante")+(D473=""),"",IFERROR(MATCH(D473,{"Oficinas";"Locales";"Estacionamientos";"Bodegas"},0),5)&amp;"|"&amp;B473&amp;"|"&amp;TEXT(G473,"yyyymmdd")&amp;"|"&amp;TEXT(H473,"yyyymmdd"))</f>
        <v>3|CENTRAL PARKIING SYSTEM CHILE|-|20260228</v>
      </c>
      <c r="AE473" s="4"/>
      <c r="AF473" s="4"/>
    </row>
    <row r="474" spans="1:32" x14ac:dyDescent="0.2">
      <c r="A474" s="5">
        <v>-8</v>
      </c>
      <c r="B474" s="6" t="s">
        <v>147</v>
      </c>
      <c r="C474" s="6" t="s">
        <v>147</v>
      </c>
      <c r="D474" s="6" t="s">
        <v>10</v>
      </c>
      <c r="E474" s="5">
        <v>8018</v>
      </c>
      <c r="G474" s="9" t="s">
        <v>9</v>
      </c>
      <c r="H474" s="9">
        <v>46081</v>
      </c>
      <c r="I474" s="6" t="s">
        <v>2</v>
      </c>
      <c r="L474" s="18">
        <v>1</v>
      </c>
      <c r="M474" s="19">
        <v>0.84</v>
      </c>
      <c r="N474" s="18">
        <v>0.84</v>
      </c>
      <c r="T474" s="4"/>
      <c r="U474" s="4"/>
      <c r="V474" s="4"/>
      <c r="W474" s="4"/>
      <c r="X474" s="4"/>
      <c r="Y474" s="4"/>
      <c r="Z474" s="4"/>
      <c r="AA474" s="4"/>
      <c r="AD474" s="20" t="str">
        <f>IF((B474="")+(B474="Vacante")+(D474=""),"",IFERROR(MATCH(D474,{"Oficinas";"Locales";"Estacionamientos";"Bodegas"},0),5)&amp;"|"&amp;B474&amp;"|"&amp;TEXT(G474,"yyyymmdd")&amp;"|"&amp;TEXT(H474,"yyyymmdd"))</f>
        <v>3|CENTRAL PARKIING SYSTEM CHILE|-|20260228</v>
      </c>
      <c r="AE474" s="4"/>
      <c r="AF474" s="4"/>
    </row>
    <row r="475" spans="1:32" x14ac:dyDescent="0.2">
      <c r="A475" s="5">
        <v>-8</v>
      </c>
      <c r="B475" s="6" t="s">
        <v>147</v>
      </c>
      <c r="C475" s="6" t="s">
        <v>147</v>
      </c>
      <c r="D475" s="6" t="s">
        <v>10</v>
      </c>
      <c r="E475" s="5">
        <v>8019</v>
      </c>
      <c r="G475" s="9" t="s">
        <v>9</v>
      </c>
      <c r="H475" s="9">
        <v>46081</v>
      </c>
      <c r="I475" s="6" t="s">
        <v>2</v>
      </c>
      <c r="L475" s="18">
        <v>1</v>
      </c>
      <c r="M475" s="19">
        <v>0.84</v>
      </c>
      <c r="N475" s="18">
        <v>0.84</v>
      </c>
      <c r="T475" s="4"/>
      <c r="U475" s="4"/>
      <c r="V475" s="4"/>
      <c r="W475" s="4"/>
      <c r="X475" s="4"/>
      <c r="Y475" s="4"/>
      <c r="Z475" s="4"/>
      <c r="AA475" s="4"/>
      <c r="AD475" s="20" t="str">
        <f>IF((B475="")+(B475="Vacante")+(D475=""),"",IFERROR(MATCH(D475,{"Oficinas";"Locales";"Estacionamientos";"Bodegas"},0),5)&amp;"|"&amp;B475&amp;"|"&amp;TEXT(G475,"yyyymmdd")&amp;"|"&amp;TEXT(H475,"yyyymmdd"))</f>
        <v>3|CENTRAL PARKIING SYSTEM CHILE|-|20260228</v>
      </c>
      <c r="AE475" s="4"/>
      <c r="AF475" s="4"/>
    </row>
    <row r="476" spans="1:32" x14ac:dyDescent="0.2">
      <c r="A476" s="5">
        <v>-8</v>
      </c>
      <c r="B476" s="6" t="s">
        <v>147</v>
      </c>
      <c r="C476" s="6" t="s">
        <v>147</v>
      </c>
      <c r="D476" s="6" t="s">
        <v>10</v>
      </c>
      <c r="E476" s="5">
        <v>8020</v>
      </c>
      <c r="G476" s="9" t="s">
        <v>9</v>
      </c>
      <c r="H476" s="9">
        <v>46081</v>
      </c>
      <c r="I476" s="6" t="s">
        <v>2</v>
      </c>
      <c r="L476" s="18">
        <v>1</v>
      </c>
      <c r="M476" s="19">
        <v>0.84</v>
      </c>
      <c r="N476" s="18">
        <v>0.84</v>
      </c>
      <c r="T476" s="4"/>
      <c r="U476" s="4"/>
      <c r="V476" s="4"/>
      <c r="W476" s="4"/>
      <c r="X476" s="4"/>
      <c r="Y476" s="4"/>
      <c r="Z476" s="4"/>
      <c r="AA476" s="4"/>
      <c r="AD476" s="20" t="str">
        <f>IF((B476="")+(B476="Vacante")+(D476=""),"",IFERROR(MATCH(D476,{"Oficinas";"Locales";"Estacionamientos";"Bodegas"},0),5)&amp;"|"&amp;B476&amp;"|"&amp;TEXT(G476,"yyyymmdd")&amp;"|"&amp;TEXT(H476,"yyyymmdd"))</f>
        <v>3|CENTRAL PARKIING SYSTEM CHILE|-|20260228</v>
      </c>
      <c r="AE476" s="4"/>
      <c r="AF476" s="4"/>
    </row>
    <row r="477" spans="1:32" x14ac:dyDescent="0.2">
      <c r="A477" s="5">
        <v>-8</v>
      </c>
      <c r="B477" s="6" t="s">
        <v>147</v>
      </c>
      <c r="C477" s="6" t="s">
        <v>147</v>
      </c>
      <c r="D477" s="6" t="s">
        <v>10</v>
      </c>
      <c r="E477" s="5">
        <v>8021</v>
      </c>
      <c r="G477" s="9" t="s">
        <v>9</v>
      </c>
      <c r="H477" s="9">
        <v>46081</v>
      </c>
      <c r="I477" s="6" t="s">
        <v>2</v>
      </c>
      <c r="L477" s="18">
        <v>1</v>
      </c>
      <c r="M477" s="19">
        <v>0.84</v>
      </c>
      <c r="N477" s="18">
        <v>0.84</v>
      </c>
      <c r="T477" s="4"/>
      <c r="U477" s="4"/>
      <c r="V477" s="4"/>
      <c r="W477" s="4"/>
      <c r="X477" s="4"/>
      <c r="Y477" s="4"/>
      <c r="Z477" s="4"/>
      <c r="AA477" s="4"/>
      <c r="AD477" s="20" t="str">
        <f>IF((B477="")+(B477="Vacante")+(D477=""),"",IFERROR(MATCH(D477,{"Oficinas";"Locales";"Estacionamientos";"Bodegas"},0),5)&amp;"|"&amp;B477&amp;"|"&amp;TEXT(G477,"yyyymmdd")&amp;"|"&amp;TEXT(H477,"yyyymmdd"))</f>
        <v>3|CENTRAL PARKIING SYSTEM CHILE|-|20260228</v>
      </c>
      <c r="AE477" s="4"/>
      <c r="AF477" s="4"/>
    </row>
    <row r="478" spans="1:32" x14ac:dyDescent="0.2">
      <c r="A478" s="5">
        <v>-8</v>
      </c>
      <c r="B478" s="6" t="s">
        <v>147</v>
      </c>
      <c r="C478" s="6" t="s">
        <v>147</v>
      </c>
      <c r="D478" s="6" t="s">
        <v>10</v>
      </c>
      <c r="E478" s="5">
        <v>8022</v>
      </c>
      <c r="G478" s="9" t="s">
        <v>9</v>
      </c>
      <c r="H478" s="9">
        <v>46081</v>
      </c>
      <c r="I478" s="6" t="s">
        <v>2</v>
      </c>
      <c r="L478" s="18">
        <v>1</v>
      </c>
      <c r="M478" s="19">
        <v>0.84</v>
      </c>
      <c r="N478" s="18">
        <v>0.84</v>
      </c>
      <c r="T478" s="4"/>
      <c r="U478" s="4"/>
      <c r="V478" s="4"/>
      <c r="W478" s="4"/>
      <c r="X478" s="4"/>
      <c r="Y478" s="4"/>
      <c r="Z478" s="4"/>
      <c r="AA478" s="4"/>
      <c r="AD478" s="20" t="str">
        <f>IF((B478="")+(B478="Vacante")+(D478=""),"",IFERROR(MATCH(D478,{"Oficinas";"Locales";"Estacionamientos";"Bodegas"},0),5)&amp;"|"&amp;B478&amp;"|"&amp;TEXT(G478,"yyyymmdd")&amp;"|"&amp;TEXT(H478,"yyyymmdd"))</f>
        <v>3|CENTRAL PARKIING SYSTEM CHILE|-|20260228</v>
      </c>
      <c r="AE478" s="4"/>
      <c r="AF478" s="4"/>
    </row>
    <row r="479" spans="1:32" x14ac:dyDescent="0.2">
      <c r="A479" s="5">
        <v>-8</v>
      </c>
      <c r="B479" s="6" t="s">
        <v>147</v>
      </c>
      <c r="C479" s="6" t="s">
        <v>147</v>
      </c>
      <c r="D479" s="6" t="s">
        <v>10</v>
      </c>
      <c r="E479" s="5">
        <v>8023</v>
      </c>
      <c r="F479" s="6" t="s">
        <v>104</v>
      </c>
      <c r="G479" s="9" t="s">
        <v>9</v>
      </c>
      <c r="H479" s="9">
        <v>46081</v>
      </c>
      <c r="I479" s="6" t="s">
        <v>2</v>
      </c>
      <c r="L479" s="18">
        <v>1</v>
      </c>
      <c r="M479" s="19">
        <v>0.84</v>
      </c>
      <c r="N479" s="18">
        <v>0.84</v>
      </c>
      <c r="T479" s="4"/>
      <c r="U479" s="4"/>
      <c r="V479" s="4"/>
      <c r="W479" s="4"/>
      <c r="X479" s="4"/>
      <c r="Y479" s="4"/>
      <c r="Z479" s="4"/>
      <c r="AA479" s="4"/>
      <c r="AD479" s="20" t="str">
        <f>IF((B479="")+(B479="Vacante")+(D479=""),"",IFERROR(MATCH(D479,{"Oficinas";"Locales";"Estacionamientos";"Bodegas"},0),5)&amp;"|"&amp;B479&amp;"|"&amp;TEXT(G479,"yyyymmdd")&amp;"|"&amp;TEXT(H479,"yyyymmdd"))</f>
        <v>3|CENTRAL PARKIING SYSTEM CHILE|-|20260228</v>
      </c>
      <c r="AE479" s="4"/>
      <c r="AF479" s="4"/>
    </row>
    <row r="480" spans="1:32" x14ac:dyDescent="0.2">
      <c r="A480" s="5">
        <v>-8</v>
      </c>
      <c r="B480" s="6" t="s">
        <v>147</v>
      </c>
      <c r="C480" s="6" t="s">
        <v>147</v>
      </c>
      <c r="D480" s="6" t="s">
        <v>10</v>
      </c>
      <c r="E480" s="5">
        <v>8024</v>
      </c>
      <c r="F480" s="6" t="s">
        <v>104</v>
      </c>
      <c r="G480" s="9" t="s">
        <v>9</v>
      </c>
      <c r="H480" s="9">
        <v>46081</v>
      </c>
      <c r="I480" s="6" t="s">
        <v>2</v>
      </c>
      <c r="L480" s="18">
        <v>1</v>
      </c>
      <c r="M480" s="19">
        <v>0.84</v>
      </c>
      <c r="N480" s="18">
        <v>0.84</v>
      </c>
      <c r="T480" s="4"/>
      <c r="U480" s="4"/>
      <c r="V480" s="4"/>
      <c r="W480" s="4"/>
      <c r="X480" s="4"/>
      <c r="Y480" s="4"/>
      <c r="Z480" s="4"/>
      <c r="AA480" s="4"/>
      <c r="AD480" s="20" t="str">
        <f>IF((B480="")+(B480="Vacante")+(D480=""),"",IFERROR(MATCH(D480,{"Oficinas";"Locales";"Estacionamientos";"Bodegas"},0),5)&amp;"|"&amp;B480&amp;"|"&amp;TEXT(G480,"yyyymmdd")&amp;"|"&amp;TEXT(H480,"yyyymmdd"))</f>
        <v>3|CENTRAL PARKIING SYSTEM CHILE|-|20260228</v>
      </c>
      <c r="AE480" s="4"/>
      <c r="AF480" s="4"/>
    </row>
    <row r="481" spans="1:32" x14ac:dyDescent="0.2">
      <c r="A481" s="5">
        <v>-8</v>
      </c>
      <c r="B481" s="6" t="s">
        <v>147</v>
      </c>
      <c r="C481" s="6" t="s">
        <v>147</v>
      </c>
      <c r="D481" s="6" t="s">
        <v>10</v>
      </c>
      <c r="E481" s="5">
        <v>8025</v>
      </c>
      <c r="F481" s="6" t="s">
        <v>104</v>
      </c>
      <c r="G481" s="9" t="s">
        <v>9</v>
      </c>
      <c r="H481" s="9">
        <v>46081</v>
      </c>
      <c r="I481" s="6" t="s">
        <v>2</v>
      </c>
      <c r="L481" s="18">
        <v>1</v>
      </c>
      <c r="M481" s="19">
        <v>0.84</v>
      </c>
      <c r="N481" s="18">
        <v>0.84</v>
      </c>
      <c r="T481" s="4"/>
      <c r="U481" s="4"/>
      <c r="V481" s="4"/>
      <c r="W481" s="4"/>
      <c r="X481" s="4"/>
      <c r="Y481" s="4"/>
      <c r="Z481" s="4"/>
      <c r="AA481" s="4"/>
      <c r="AD481" s="20" t="str">
        <f>IF((B481="")+(B481="Vacante")+(D481=""),"",IFERROR(MATCH(D481,{"Oficinas";"Locales";"Estacionamientos";"Bodegas"},0),5)&amp;"|"&amp;B481&amp;"|"&amp;TEXT(G481,"yyyymmdd")&amp;"|"&amp;TEXT(H481,"yyyymmdd"))</f>
        <v>3|CENTRAL PARKIING SYSTEM CHILE|-|20260228</v>
      </c>
      <c r="AE481" s="4"/>
      <c r="AF481" s="4"/>
    </row>
    <row r="482" spans="1:32" x14ac:dyDescent="0.2">
      <c r="A482" s="5">
        <v>-8</v>
      </c>
      <c r="B482" s="6" t="s">
        <v>147</v>
      </c>
      <c r="C482" s="6" t="s">
        <v>147</v>
      </c>
      <c r="D482" s="6" t="s">
        <v>10</v>
      </c>
      <c r="E482" s="5">
        <v>8026</v>
      </c>
      <c r="F482" s="6" t="s">
        <v>104</v>
      </c>
      <c r="G482" s="9" t="s">
        <v>9</v>
      </c>
      <c r="H482" s="9">
        <v>46081</v>
      </c>
      <c r="I482" s="6" t="s">
        <v>2</v>
      </c>
      <c r="L482" s="18">
        <v>1</v>
      </c>
      <c r="M482" s="19">
        <v>0.84</v>
      </c>
      <c r="N482" s="18">
        <v>0.84</v>
      </c>
      <c r="T482" s="4"/>
      <c r="U482" s="4"/>
      <c r="V482" s="4"/>
      <c r="W482" s="4"/>
      <c r="X482" s="4"/>
      <c r="Y482" s="4"/>
      <c r="Z482" s="4"/>
      <c r="AA482" s="4"/>
      <c r="AD482" s="20" t="str">
        <f>IF((B482="")+(B482="Vacante")+(D482=""),"",IFERROR(MATCH(D482,{"Oficinas";"Locales";"Estacionamientos";"Bodegas"},0),5)&amp;"|"&amp;B482&amp;"|"&amp;TEXT(G482,"yyyymmdd")&amp;"|"&amp;TEXT(H482,"yyyymmdd"))</f>
        <v>3|CENTRAL PARKIING SYSTEM CHILE|-|20260228</v>
      </c>
      <c r="AE482" s="4"/>
      <c r="AF482" s="4"/>
    </row>
    <row r="483" spans="1:32" x14ac:dyDescent="0.2">
      <c r="A483" s="5">
        <v>-8</v>
      </c>
      <c r="B483" s="6" t="s">
        <v>147</v>
      </c>
      <c r="C483" s="6" t="s">
        <v>147</v>
      </c>
      <c r="D483" s="6" t="s">
        <v>10</v>
      </c>
      <c r="E483" s="5">
        <v>8027</v>
      </c>
      <c r="F483" s="6" t="s">
        <v>104</v>
      </c>
      <c r="G483" s="9" t="s">
        <v>9</v>
      </c>
      <c r="H483" s="9">
        <v>46081</v>
      </c>
      <c r="I483" s="6" t="s">
        <v>2</v>
      </c>
      <c r="L483" s="18">
        <v>1</v>
      </c>
      <c r="M483" s="19">
        <v>0.84</v>
      </c>
      <c r="N483" s="18">
        <v>0.84</v>
      </c>
      <c r="T483" s="4"/>
      <c r="U483" s="4"/>
      <c r="V483" s="4"/>
      <c r="W483" s="4"/>
      <c r="X483" s="4"/>
      <c r="Y483" s="4"/>
      <c r="Z483" s="4"/>
      <c r="AA483" s="4"/>
      <c r="AD483" s="20" t="str">
        <f>IF((B483="")+(B483="Vacante")+(D483=""),"",IFERROR(MATCH(D483,{"Oficinas";"Locales";"Estacionamientos";"Bodegas"},0),5)&amp;"|"&amp;B483&amp;"|"&amp;TEXT(G483,"yyyymmdd")&amp;"|"&amp;TEXT(H483,"yyyymmdd"))</f>
        <v>3|CENTRAL PARKIING SYSTEM CHILE|-|20260228</v>
      </c>
      <c r="AE483" s="4"/>
      <c r="AF483" s="4"/>
    </row>
    <row r="484" spans="1:32" x14ac:dyDescent="0.2">
      <c r="A484" s="5">
        <v>-8</v>
      </c>
      <c r="B484" s="6" t="s">
        <v>147</v>
      </c>
      <c r="C484" s="6" t="s">
        <v>147</v>
      </c>
      <c r="D484" s="6" t="s">
        <v>10</v>
      </c>
      <c r="E484" s="5">
        <v>8028</v>
      </c>
      <c r="F484" s="6" t="s">
        <v>104</v>
      </c>
      <c r="G484" s="9" t="s">
        <v>9</v>
      </c>
      <c r="H484" s="9">
        <v>46081</v>
      </c>
      <c r="I484" s="6" t="s">
        <v>2</v>
      </c>
      <c r="L484" s="18">
        <v>1</v>
      </c>
      <c r="M484" s="19">
        <v>0.84</v>
      </c>
      <c r="N484" s="18">
        <v>0.84</v>
      </c>
      <c r="T484" s="4"/>
      <c r="U484" s="4"/>
      <c r="V484" s="4"/>
      <c r="W484" s="4"/>
      <c r="X484" s="4"/>
      <c r="Y484" s="4"/>
      <c r="Z484" s="4"/>
      <c r="AA484" s="4"/>
      <c r="AD484" s="20" t="str">
        <f>IF((B484="")+(B484="Vacante")+(D484=""),"",IFERROR(MATCH(D484,{"Oficinas";"Locales";"Estacionamientos";"Bodegas"},0),5)&amp;"|"&amp;B484&amp;"|"&amp;TEXT(G484,"yyyymmdd")&amp;"|"&amp;TEXT(H484,"yyyymmdd"))</f>
        <v>3|CENTRAL PARKIING SYSTEM CHILE|-|20260228</v>
      </c>
      <c r="AE484" s="4"/>
      <c r="AF484" s="4"/>
    </row>
    <row r="485" spans="1:32" x14ac:dyDescent="0.2">
      <c r="A485" s="5">
        <v>-8</v>
      </c>
      <c r="B485" s="6" t="s">
        <v>147</v>
      </c>
      <c r="C485" s="6" t="s">
        <v>147</v>
      </c>
      <c r="D485" s="6" t="s">
        <v>10</v>
      </c>
      <c r="E485" s="5">
        <v>8029</v>
      </c>
      <c r="F485" s="6" t="s">
        <v>104</v>
      </c>
      <c r="G485" s="9" t="s">
        <v>9</v>
      </c>
      <c r="H485" s="9">
        <v>46081</v>
      </c>
      <c r="I485" s="6" t="s">
        <v>2</v>
      </c>
      <c r="L485" s="18">
        <v>1</v>
      </c>
      <c r="M485" s="19">
        <v>0.84</v>
      </c>
      <c r="N485" s="18">
        <v>0.84</v>
      </c>
      <c r="T485" s="4"/>
      <c r="U485" s="4"/>
      <c r="V485" s="4"/>
      <c r="W485" s="4"/>
      <c r="X485" s="4"/>
      <c r="Y485" s="4"/>
      <c r="Z485" s="4"/>
      <c r="AA485" s="4"/>
      <c r="AD485" s="20" t="str">
        <f>IF((B485="")+(B485="Vacante")+(D485=""),"",IFERROR(MATCH(D485,{"Oficinas";"Locales";"Estacionamientos";"Bodegas"},0),5)&amp;"|"&amp;B485&amp;"|"&amp;TEXT(G485,"yyyymmdd")&amp;"|"&amp;TEXT(H485,"yyyymmdd"))</f>
        <v>3|CENTRAL PARKIING SYSTEM CHILE|-|20260228</v>
      </c>
      <c r="AE485" s="4"/>
      <c r="AF485" s="4"/>
    </row>
    <row r="486" spans="1:32" x14ac:dyDescent="0.2">
      <c r="A486" s="5">
        <v>-8</v>
      </c>
      <c r="B486" s="6" t="s">
        <v>147</v>
      </c>
      <c r="C486" s="6" t="s">
        <v>147</v>
      </c>
      <c r="D486" s="6" t="s">
        <v>10</v>
      </c>
      <c r="E486" s="5">
        <v>8030</v>
      </c>
      <c r="G486" s="9" t="s">
        <v>9</v>
      </c>
      <c r="H486" s="9">
        <v>46081</v>
      </c>
      <c r="I486" s="6" t="s">
        <v>2</v>
      </c>
      <c r="L486" s="18">
        <v>1</v>
      </c>
      <c r="M486" s="19">
        <v>0.84</v>
      </c>
      <c r="N486" s="18">
        <v>0.84</v>
      </c>
      <c r="T486" s="4"/>
      <c r="U486" s="4"/>
      <c r="V486" s="4"/>
      <c r="W486" s="4"/>
      <c r="X486" s="4"/>
      <c r="Y486" s="4"/>
      <c r="Z486" s="4"/>
      <c r="AA486" s="4"/>
      <c r="AD486" s="20" t="str">
        <f>IF((B486="")+(B486="Vacante")+(D486=""),"",IFERROR(MATCH(D486,{"Oficinas";"Locales";"Estacionamientos";"Bodegas"},0),5)&amp;"|"&amp;B486&amp;"|"&amp;TEXT(G486,"yyyymmdd")&amp;"|"&amp;TEXT(H486,"yyyymmdd"))</f>
        <v>3|CENTRAL PARKIING SYSTEM CHILE|-|20260228</v>
      </c>
      <c r="AE486" s="4"/>
      <c r="AF486" s="4"/>
    </row>
    <row r="487" spans="1:32" x14ac:dyDescent="0.2">
      <c r="A487" s="5">
        <v>-8</v>
      </c>
      <c r="B487" s="6" t="s">
        <v>147</v>
      </c>
      <c r="C487" s="6" t="s">
        <v>147</v>
      </c>
      <c r="D487" s="6" t="s">
        <v>10</v>
      </c>
      <c r="E487" s="5">
        <v>8031</v>
      </c>
      <c r="G487" s="9" t="s">
        <v>9</v>
      </c>
      <c r="H487" s="9">
        <v>46081</v>
      </c>
      <c r="I487" s="6" t="s">
        <v>2</v>
      </c>
      <c r="L487" s="18">
        <v>1</v>
      </c>
      <c r="M487" s="19">
        <v>0.84</v>
      </c>
      <c r="N487" s="18">
        <v>0.84</v>
      </c>
      <c r="T487" s="4"/>
      <c r="U487" s="4"/>
      <c r="V487" s="4"/>
      <c r="W487" s="4"/>
      <c r="X487" s="4"/>
      <c r="Y487" s="4"/>
      <c r="Z487" s="4"/>
      <c r="AA487" s="4"/>
      <c r="AD487" s="20" t="str">
        <f>IF((B487="")+(B487="Vacante")+(D487=""),"",IFERROR(MATCH(D487,{"Oficinas";"Locales";"Estacionamientos";"Bodegas"},0),5)&amp;"|"&amp;B487&amp;"|"&amp;TEXT(G487,"yyyymmdd")&amp;"|"&amp;TEXT(H487,"yyyymmdd"))</f>
        <v>3|CENTRAL PARKIING SYSTEM CHILE|-|20260228</v>
      </c>
      <c r="AE487" s="4"/>
      <c r="AF487" s="4"/>
    </row>
    <row r="488" spans="1:32" x14ac:dyDescent="0.2">
      <c r="A488" s="5">
        <v>-8</v>
      </c>
      <c r="B488" s="6" t="s">
        <v>147</v>
      </c>
      <c r="C488" s="6" t="s">
        <v>147</v>
      </c>
      <c r="D488" s="6" t="s">
        <v>10</v>
      </c>
      <c r="E488" s="5">
        <v>8032</v>
      </c>
      <c r="G488" s="9" t="s">
        <v>9</v>
      </c>
      <c r="H488" s="9">
        <v>46081</v>
      </c>
      <c r="I488" s="6" t="s">
        <v>2</v>
      </c>
      <c r="L488" s="18">
        <v>1</v>
      </c>
      <c r="M488" s="19">
        <v>0.84</v>
      </c>
      <c r="N488" s="18">
        <v>0.84</v>
      </c>
      <c r="T488" s="4"/>
      <c r="U488" s="4"/>
      <c r="V488" s="4"/>
      <c r="W488" s="4"/>
      <c r="X488" s="4"/>
      <c r="Y488" s="4"/>
      <c r="Z488" s="4"/>
      <c r="AA488" s="4"/>
      <c r="AD488" s="20" t="str">
        <f>IF((B488="")+(B488="Vacante")+(D488=""),"",IFERROR(MATCH(D488,{"Oficinas";"Locales";"Estacionamientos";"Bodegas"},0),5)&amp;"|"&amp;B488&amp;"|"&amp;TEXT(G488,"yyyymmdd")&amp;"|"&amp;TEXT(H488,"yyyymmdd"))</f>
        <v>3|CENTRAL PARKIING SYSTEM CHILE|-|20260228</v>
      </c>
      <c r="AE488" s="4"/>
      <c r="AF488" s="4"/>
    </row>
    <row r="489" spans="1:32" x14ac:dyDescent="0.2">
      <c r="A489" s="5">
        <v>-8</v>
      </c>
      <c r="B489" s="6" t="s">
        <v>147</v>
      </c>
      <c r="C489" s="6" t="s">
        <v>147</v>
      </c>
      <c r="D489" s="6" t="s">
        <v>10</v>
      </c>
      <c r="E489" s="5">
        <v>8033</v>
      </c>
      <c r="G489" s="9" t="s">
        <v>9</v>
      </c>
      <c r="H489" s="9">
        <v>46081</v>
      </c>
      <c r="I489" s="6" t="s">
        <v>2</v>
      </c>
      <c r="L489" s="18">
        <v>1</v>
      </c>
      <c r="M489" s="19">
        <v>0.84</v>
      </c>
      <c r="N489" s="18">
        <v>0.84</v>
      </c>
      <c r="T489" s="4"/>
      <c r="U489" s="4"/>
      <c r="V489" s="4"/>
      <c r="W489" s="4"/>
      <c r="X489" s="4"/>
      <c r="Y489" s="4"/>
      <c r="Z489" s="4"/>
      <c r="AA489" s="4"/>
      <c r="AD489" s="20" t="str">
        <f>IF((B489="")+(B489="Vacante")+(D489=""),"",IFERROR(MATCH(D489,{"Oficinas";"Locales";"Estacionamientos";"Bodegas"},0),5)&amp;"|"&amp;B489&amp;"|"&amp;TEXT(G489,"yyyymmdd")&amp;"|"&amp;TEXT(H489,"yyyymmdd"))</f>
        <v>3|CENTRAL PARKIING SYSTEM CHILE|-|20260228</v>
      </c>
      <c r="AE489" s="4"/>
      <c r="AF489" s="4"/>
    </row>
    <row r="490" spans="1:32" x14ac:dyDescent="0.2">
      <c r="A490" s="5">
        <v>-8</v>
      </c>
      <c r="B490" s="6" t="s">
        <v>147</v>
      </c>
      <c r="C490" s="6" t="s">
        <v>147</v>
      </c>
      <c r="D490" s="6" t="s">
        <v>10</v>
      </c>
      <c r="E490" s="5">
        <v>8034</v>
      </c>
      <c r="G490" s="9" t="s">
        <v>9</v>
      </c>
      <c r="H490" s="9">
        <v>46081</v>
      </c>
      <c r="I490" s="6" t="s">
        <v>2</v>
      </c>
      <c r="L490" s="18">
        <v>1</v>
      </c>
      <c r="M490" s="19">
        <v>0.84</v>
      </c>
      <c r="N490" s="18">
        <v>0.84</v>
      </c>
      <c r="T490" s="4"/>
      <c r="U490" s="4"/>
      <c r="V490" s="4"/>
      <c r="W490" s="4"/>
      <c r="X490" s="4"/>
      <c r="Y490" s="4"/>
      <c r="Z490" s="4"/>
      <c r="AA490" s="4"/>
      <c r="AD490" s="20" t="str">
        <f>IF((B490="")+(B490="Vacante")+(D490=""),"",IFERROR(MATCH(D490,{"Oficinas";"Locales";"Estacionamientos";"Bodegas"},0),5)&amp;"|"&amp;B490&amp;"|"&amp;TEXT(G490,"yyyymmdd")&amp;"|"&amp;TEXT(H490,"yyyymmdd"))</f>
        <v>3|CENTRAL PARKIING SYSTEM CHILE|-|20260228</v>
      </c>
      <c r="AE490" s="4"/>
      <c r="AF490" s="4"/>
    </row>
    <row r="491" spans="1:32" x14ac:dyDescent="0.2">
      <c r="A491" s="5">
        <v>-8</v>
      </c>
      <c r="B491" s="6" t="s">
        <v>147</v>
      </c>
      <c r="C491" s="6" t="s">
        <v>147</v>
      </c>
      <c r="D491" s="6" t="s">
        <v>10</v>
      </c>
      <c r="E491" s="5">
        <v>8035</v>
      </c>
      <c r="G491" s="9" t="s">
        <v>9</v>
      </c>
      <c r="H491" s="9">
        <v>46081</v>
      </c>
      <c r="I491" s="6" t="s">
        <v>2</v>
      </c>
      <c r="L491" s="18">
        <v>1</v>
      </c>
      <c r="M491" s="19">
        <v>0.84</v>
      </c>
      <c r="N491" s="18">
        <v>0.84</v>
      </c>
      <c r="T491" s="4"/>
      <c r="U491" s="4"/>
      <c r="V491" s="4"/>
      <c r="W491" s="4"/>
      <c r="X491" s="4"/>
      <c r="Y491" s="4"/>
      <c r="Z491" s="4"/>
      <c r="AA491" s="4"/>
      <c r="AD491" s="20" t="str">
        <f>IF((B491="")+(B491="Vacante")+(D491=""),"",IFERROR(MATCH(D491,{"Oficinas";"Locales";"Estacionamientos";"Bodegas"},0),5)&amp;"|"&amp;B491&amp;"|"&amp;TEXT(G491,"yyyymmdd")&amp;"|"&amp;TEXT(H491,"yyyymmdd"))</f>
        <v>3|CENTRAL PARKIING SYSTEM CHILE|-|20260228</v>
      </c>
      <c r="AE491" s="4"/>
      <c r="AF491" s="4"/>
    </row>
    <row r="492" spans="1:32" x14ac:dyDescent="0.2">
      <c r="A492" s="5">
        <v>-8</v>
      </c>
      <c r="B492" s="6" t="s">
        <v>147</v>
      </c>
      <c r="C492" s="6" t="s">
        <v>147</v>
      </c>
      <c r="D492" s="6" t="s">
        <v>10</v>
      </c>
      <c r="E492" s="5">
        <v>8036</v>
      </c>
      <c r="G492" s="9" t="s">
        <v>9</v>
      </c>
      <c r="H492" s="9">
        <v>46081</v>
      </c>
      <c r="I492" s="6" t="s">
        <v>2</v>
      </c>
      <c r="L492" s="18">
        <v>1</v>
      </c>
      <c r="M492" s="19">
        <v>0.84</v>
      </c>
      <c r="N492" s="18">
        <v>0.84</v>
      </c>
      <c r="T492" s="4"/>
      <c r="U492" s="4"/>
      <c r="V492" s="4"/>
      <c r="W492" s="4"/>
      <c r="X492" s="4"/>
      <c r="Y492" s="4"/>
      <c r="Z492" s="4"/>
      <c r="AA492" s="4"/>
      <c r="AD492" s="20" t="str">
        <f>IF((B492="")+(B492="Vacante")+(D492=""),"",IFERROR(MATCH(D492,{"Oficinas";"Locales";"Estacionamientos";"Bodegas"},0),5)&amp;"|"&amp;B492&amp;"|"&amp;TEXT(G492,"yyyymmdd")&amp;"|"&amp;TEXT(H492,"yyyymmdd"))</f>
        <v>3|CENTRAL PARKIING SYSTEM CHILE|-|20260228</v>
      </c>
      <c r="AE492" s="4"/>
      <c r="AF492" s="4"/>
    </row>
    <row r="493" spans="1:32" x14ac:dyDescent="0.2">
      <c r="A493" s="5">
        <v>-8</v>
      </c>
      <c r="B493" s="6" t="s">
        <v>147</v>
      </c>
      <c r="C493" s="6" t="s">
        <v>147</v>
      </c>
      <c r="D493" s="6" t="s">
        <v>10</v>
      </c>
      <c r="E493" s="5">
        <v>8037</v>
      </c>
      <c r="G493" s="9" t="s">
        <v>9</v>
      </c>
      <c r="H493" s="9">
        <v>46081</v>
      </c>
      <c r="I493" s="6" t="s">
        <v>2</v>
      </c>
      <c r="L493" s="18">
        <v>1</v>
      </c>
      <c r="M493" s="19">
        <v>0.84</v>
      </c>
      <c r="N493" s="18">
        <v>0.84</v>
      </c>
      <c r="T493" s="4"/>
      <c r="U493" s="4"/>
      <c r="V493" s="4"/>
      <c r="W493" s="4"/>
      <c r="X493" s="4"/>
      <c r="Y493" s="4"/>
      <c r="Z493" s="4"/>
      <c r="AA493" s="4"/>
      <c r="AD493" s="20" t="str">
        <f>IF((B493="")+(B493="Vacante")+(D493=""),"",IFERROR(MATCH(D493,{"Oficinas";"Locales";"Estacionamientos";"Bodegas"},0),5)&amp;"|"&amp;B493&amp;"|"&amp;TEXT(G493,"yyyymmdd")&amp;"|"&amp;TEXT(H493,"yyyymmdd"))</f>
        <v>3|CENTRAL PARKIING SYSTEM CHILE|-|20260228</v>
      </c>
      <c r="AE493" s="4"/>
      <c r="AF493" s="4"/>
    </row>
    <row r="494" spans="1:32" x14ac:dyDescent="0.2">
      <c r="A494" s="5">
        <v>-8</v>
      </c>
      <c r="B494" s="6" t="s">
        <v>147</v>
      </c>
      <c r="C494" s="6" t="s">
        <v>147</v>
      </c>
      <c r="D494" s="6" t="s">
        <v>10</v>
      </c>
      <c r="E494" s="5">
        <v>8038</v>
      </c>
      <c r="G494" s="9" t="s">
        <v>9</v>
      </c>
      <c r="H494" s="9">
        <v>46081</v>
      </c>
      <c r="I494" s="6" t="s">
        <v>2</v>
      </c>
      <c r="L494" s="18">
        <v>1</v>
      </c>
      <c r="M494" s="19">
        <v>0.84</v>
      </c>
      <c r="N494" s="18">
        <v>0.84</v>
      </c>
      <c r="T494" s="4"/>
      <c r="U494" s="4"/>
      <c r="V494" s="4"/>
      <c r="W494" s="4"/>
      <c r="X494" s="4"/>
      <c r="Y494" s="4"/>
      <c r="Z494" s="4"/>
      <c r="AA494" s="4"/>
      <c r="AD494" s="20" t="str">
        <f>IF((B494="")+(B494="Vacante")+(D494=""),"",IFERROR(MATCH(D494,{"Oficinas";"Locales";"Estacionamientos";"Bodegas"},0),5)&amp;"|"&amp;B494&amp;"|"&amp;TEXT(G494,"yyyymmdd")&amp;"|"&amp;TEXT(H494,"yyyymmdd"))</f>
        <v>3|CENTRAL PARKIING SYSTEM CHILE|-|20260228</v>
      </c>
      <c r="AE494" s="4"/>
      <c r="AF494" s="4"/>
    </row>
    <row r="495" spans="1:32" x14ac:dyDescent="0.2">
      <c r="A495" s="5">
        <v>-8</v>
      </c>
      <c r="B495" s="6" t="s">
        <v>147</v>
      </c>
      <c r="C495" s="6" t="s">
        <v>147</v>
      </c>
      <c r="D495" s="6" t="s">
        <v>10</v>
      </c>
      <c r="E495" s="5">
        <v>8039</v>
      </c>
      <c r="G495" s="9" t="s">
        <v>9</v>
      </c>
      <c r="H495" s="9">
        <v>46081</v>
      </c>
      <c r="I495" s="6" t="s">
        <v>2</v>
      </c>
      <c r="L495" s="18">
        <v>1</v>
      </c>
      <c r="M495" s="19">
        <v>0.84</v>
      </c>
      <c r="N495" s="18">
        <v>0.84</v>
      </c>
      <c r="T495" s="4"/>
      <c r="U495" s="4"/>
      <c r="V495" s="4"/>
      <c r="W495" s="4"/>
      <c r="X495" s="4"/>
      <c r="Y495" s="4"/>
      <c r="Z495" s="4"/>
      <c r="AA495" s="4"/>
      <c r="AD495" s="20" t="str">
        <f>IF((B495="")+(B495="Vacante")+(D495=""),"",IFERROR(MATCH(D495,{"Oficinas";"Locales";"Estacionamientos";"Bodegas"},0),5)&amp;"|"&amp;B495&amp;"|"&amp;TEXT(G495,"yyyymmdd")&amp;"|"&amp;TEXT(H495,"yyyymmdd"))</f>
        <v>3|CENTRAL PARKIING SYSTEM CHILE|-|20260228</v>
      </c>
      <c r="AE495" s="4"/>
      <c r="AF495" s="4"/>
    </row>
    <row r="496" spans="1:32" x14ac:dyDescent="0.2">
      <c r="A496" s="5">
        <v>-8</v>
      </c>
      <c r="B496" s="6" t="s">
        <v>147</v>
      </c>
      <c r="C496" s="6" t="s">
        <v>147</v>
      </c>
      <c r="D496" s="6" t="s">
        <v>10</v>
      </c>
      <c r="E496" s="5">
        <v>8040</v>
      </c>
      <c r="G496" s="9" t="s">
        <v>9</v>
      </c>
      <c r="H496" s="9">
        <v>46081</v>
      </c>
      <c r="I496" s="6" t="s">
        <v>2</v>
      </c>
      <c r="L496" s="18">
        <v>1</v>
      </c>
      <c r="M496" s="19">
        <v>0.84</v>
      </c>
      <c r="N496" s="18">
        <v>0.84</v>
      </c>
      <c r="T496" s="4"/>
      <c r="U496" s="4"/>
      <c r="V496" s="4"/>
      <c r="W496" s="4"/>
      <c r="X496" s="4"/>
      <c r="Y496" s="4"/>
      <c r="Z496" s="4"/>
      <c r="AA496" s="4"/>
      <c r="AD496" s="20" t="str">
        <f>IF((B496="")+(B496="Vacante")+(D496=""),"",IFERROR(MATCH(D496,{"Oficinas";"Locales";"Estacionamientos";"Bodegas"},0),5)&amp;"|"&amp;B496&amp;"|"&amp;TEXT(G496,"yyyymmdd")&amp;"|"&amp;TEXT(H496,"yyyymmdd"))</f>
        <v>3|CENTRAL PARKIING SYSTEM CHILE|-|20260228</v>
      </c>
      <c r="AE496" s="4"/>
      <c r="AF496" s="4"/>
    </row>
    <row r="497" spans="1:32" x14ac:dyDescent="0.2">
      <c r="A497" s="5">
        <v>-8</v>
      </c>
      <c r="B497" s="6" t="s">
        <v>147</v>
      </c>
      <c r="C497" s="6" t="s">
        <v>147</v>
      </c>
      <c r="D497" s="6" t="s">
        <v>10</v>
      </c>
      <c r="E497" s="5">
        <v>8041</v>
      </c>
      <c r="G497" s="9" t="s">
        <v>9</v>
      </c>
      <c r="H497" s="9">
        <v>46081</v>
      </c>
      <c r="I497" s="6" t="s">
        <v>2</v>
      </c>
      <c r="L497" s="18">
        <v>1</v>
      </c>
      <c r="M497" s="19">
        <v>0.84</v>
      </c>
      <c r="N497" s="18">
        <v>0.84</v>
      </c>
      <c r="T497" s="4"/>
      <c r="U497" s="4"/>
      <c r="V497" s="4"/>
      <c r="W497" s="4"/>
      <c r="X497" s="4"/>
      <c r="Y497" s="4"/>
      <c r="Z497" s="4"/>
      <c r="AA497" s="4"/>
      <c r="AD497" s="20" t="str">
        <f>IF((B497="")+(B497="Vacante")+(D497=""),"",IFERROR(MATCH(D497,{"Oficinas";"Locales";"Estacionamientos";"Bodegas"},0),5)&amp;"|"&amp;B497&amp;"|"&amp;TEXT(G497,"yyyymmdd")&amp;"|"&amp;TEXT(H497,"yyyymmdd"))</f>
        <v>3|CENTRAL PARKIING SYSTEM CHILE|-|20260228</v>
      </c>
      <c r="AE497" s="4"/>
      <c r="AF497" s="4"/>
    </row>
    <row r="498" spans="1:32" x14ac:dyDescent="0.2">
      <c r="A498" s="5">
        <v>-8</v>
      </c>
      <c r="B498" s="6" t="s">
        <v>147</v>
      </c>
      <c r="C498" s="6" t="s">
        <v>147</v>
      </c>
      <c r="D498" s="6" t="s">
        <v>10</v>
      </c>
      <c r="E498" s="5">
        <v>8042</v>
      </c>
      <c r="G498" s="9" t="s">
        <v>9</v>
      </c>
      <c r="H498" s="9">
        <v>46081</v>
      </c>
      <c r="I498" s="6" t="s">
        <v>2</v>
      </c>
      <c r="L498" s="18">
        <v>1</v>
      </c>
      <c r="M498" s="19">
        <v>0.84</v>
      </c>
      <c r="N498" s="18">
        <v>0.84</v>
      </c>
      <c r="T498" s="4"/>
      <c r="U498" s="4"/>
      <c r="V498" s="4"/>
      <c r="W498" s="4"/>
      <c r="X498" s="4"/>
      <c r="Y498" s="4"/>
      <c r="Z498" s="4"/>
      <c r="AA498" s="4"/>
      <c r="AD498" s="20" t="str">
        <f>IF((B498="")+(B498="Vacante")+(D498=""),"",IFERROR(MATCH(D498,{"Oficinas";"Locales";"Estacionamientos";"Bodegas"},0),5)&amp;"|"&amp;B498&amp;"|"&amp;TEXT(G498,"yyyymmdd")&amp;"|"&amp;TEXT(H498,"yyyymmdd"))</f>
        <v>3|CENTRAL PARKIING SYSTEM CHILE|-|20260228</v>
      </c>
      <c r="AE498" s="4"/>
      <c r="AF498" s="4"/>
    </row>
    <row r="499" spans="1:32" x14ac:dyDescent="0.2">
      <c r="A499" s="5">
        <v>-8</v>
      </c>
      <c r="B499" s="6" t="s">
        <v>147</v>
      </c>
      <c r="C499" s="6" t="s">
        <v>147</v>
      </c>
      <c r="D499" s="6" t="s">
        <v>10</v>
      </c>
      <c r="E499" s="5">
        <v>8043</v>
      </c>
      <c r="G499" s="9" t="s">
        <v>9</v>
      </c>
      <c r="H499" s="9">
        <v>46081</v>
      </c>
      <c r="I499" s="6" t="s">
        <v>2</v>
      </c>
      <c r="L499" s="18">
        <v>1</v>
      </c>
      <c r="M499" s="19">
        <v>0.84</v>
      </c>
      <c r="N499" s="18">
        <v>0.84</v>
      </c>
      <c r="T499" s="4"/>
      <c r="U499" s="4"/>
      <c r="V499" s="4"/>
      <c r="W499" s="4"/>
      <c r="X499" s="4"/>
      <c r="Y499" s="4"/>
      <c r="Z499" s="4"/>
      <c r="AA499" s="4"/>
      <c r="AD499" s="20" t="str">
        <f>IF((B499="")+(B499="Vacante")+(D499=""),"",IFERROR(MATCH(D499,{"Oficinas";"Locales";"Estacionamientos";"Bodegas"},0),5)&amp;"|"&amp;B499&amp;"|"&amp;TEXT(G499,"yyyymmdd")&amp;"|"&amp;TEXT(H499,"yyyymmdd"))</f>
        <v>3|CENTRAL PARKIING SYSTEM CHILE|-|20260228</v>
      </c>
      <c r="AE499" s="4"/>
      <c r="AF499" s="4"/>
    </row>
    <row r="500" spans="1:32" x14ac:dyDescent="0.2">
      <c r="A500" s="5">
        <v>-8</v>
      </c>
      <c r="B500" s="6" t="s">
        <v>147</v>
      </c>
      <c r="C500" s="6" t="s">
        <v>147</v>
      </c>
      <c r="D500" s="6" t="s">
        <v>10</v>
      </c>
      <c r="E500" s="5">
        <v>8044</v>
      </c>
      <c r="G500" s="9" t="s">
        <v>9</v>
      </c>
      <c r="H500" s="9">
        <v>46081</v>
      </c>
      <c r="I500" s="6" t="s">
        <v>2</v>
      </c>
      <c r="L500" s="18">
        <v>1</v>
      </c>
      <c r="M500" s="19">
        <v>0.84</v>
      </c>
      <c r="N500" s="18">
        <v>0.84</v>
      </c>
      <c r="T500" s="4"/>
      <c r="U500" s="4"/>
      <c r="V500" s="4"/>
      <c r="W500" s="4"/>
      <c r="X500" s="4"/>
      <c r="Y500" s="4"/>
      <c r="Z500" s="4"/>
      <c r="AA500" s="4"/>
      <c r="AD500" s="20" t="str">
        <f>IF((B500="")+(B500="Vacante")+(D500=""),"",IFERROR(MATCH(D500,{"Oficinas";"Locales";"Estacionamientos";"Bodegas"},0),5)&amp;"|"&amp;B500&amp;"|"&amp;TEXT(G500,"yyyymmdd")&amp;"|"&amp;TEXT(H500,"yyyymmdd"))</f>
        <v>3|CENTRAL PARKIING SYSTEM CHILE|-|20260228</v>
      </c>
      <c r="AE500" s="4"/>
      <c r="AF500" s="4"/>
    </row>
    <row r="501" spans="1:32" x14ac:dyDescent="0.2">
      <c r="A501" s="5">
        <v>-8</v>
      </c>
      <c r="B501" s="6" t="s">
        <v>147</v>
      </c>
      <c r="C501" s="6" t="s">
        <v>147</v>
      </c>
      <c r="D501" s="6" t="s">
        <v>10</v>
      </c>
      <c r="E501" s="5">
        <v>8045</v>
      </c>
      <c r="G501" s="9" t="s">
        <v>9</v>
      </c>
      <c r="H501" s="9">
        <v>46081</v>
      </c>
      <c r="I501" s="6" t="s">
        <v>2</v>
      </c>
      <c r="L501" s="18">
        <v>1</v>
      </c>
      <c r="M501" s="19">
        <v>0.84</v>
      </c>
      <c r="N501" s="18">
        <v>0.84</v>
      </c>
      <c r="T501" s="4"/>
      <c r="U501" s="4"/>
      <c r="V501" s="4"/>
      <c r="W501" s="4"/>
      <c r="X501" s="4"/>
      <c r="Y501" s="4"/>
      <c r="Z501" s="4"/>
      <c r="AA501" s="4"/>
      <c r="AD501" s="20" t="str">
        <f>IF((B501="")+(B501="Vacante")+(D501=""),"",IFERROR(MATCH(D501,{"Oficinas";"Locales";"Estacionamientos";"Bodegas"},0),5)&amp;"|"&amp;B501&amp;"|"&amp;TEXT(G501,"yyyymmdd")&amp;"|"&amp;TEXT(H501,"yyyymmdd"))</f>
        <v>3|CENTRAL PARKIING SYSTEM CHILE|-|20260228</v>
      </c>
      <c r="AE501" s="4"/>
      <c r="AF501" s="4"/>
    </row>
    <row r="502" spans="1:32" x14ac:dyDescent="0.2">
      <c r="A502" s="5">
        <v>-8</v>
      </c>
      <c r="B502" s="6" t="s">
        <v>147</v>
      </c>
      <c r="C502" s="6" t="s">
        <v>147</v>
      </c>
      <c r="D502" s="6" t="s">
        <v>10</v>
      </c>
      <c r="E502" s="5">
        <v>8046</v>
      </c>
      <c r="G502" s="9" t="s">
        <v>9</v>
      </c>
      <c r="H502" s="9">
        <v>46081</v>
      </c>
      <c r="I502" s="6" t="s">
        <v>2</v>
      </c>
      <c r="L502" s="18">
        <v>1</v>
      </c>
      <c r="M502" s="19">
        <v>0.84</v>
      </c>
      <c r="N502" s="18">
        <v>0.84</v>
      </c>
      <c r="T502" s="4"/>
      <c r="U502" s="4"/>
      <c r="V502" s="4"/>
      <c r="W502" s="4"/>
      <c r="X502" s="4"/>
      <c r="Y502" s="4"/>
      <c r="Z502" s="4"/>
      <c r="AA502" s="4"/>
      <c r="AD502" s="20" t="str">
        <f>IF((B502="")+(B502="Vacante")+(D502=""),"",IFERROR(MATCH(D502,{"Oficinas";"Locales";"Estacionamientos";"Bodegas"},0),5)&amp;"|"&amp;B502&amp;"|"&amp;TEXT(G502,"yyyymmdd")&amp;"|"&amp;TEXT(H502,"yyyymmdd"))</f>
        <v>3|CENTRAL PARKIING SYSTEM CHILE|-|20260228</v>
      </c>
      <c r="AE502" s="4"/>
      <c r="AF502" s="4"/>
    </row>
    <row r="503" spans="1:32" x14ac:dyDescent="0.2">
      <c r="A503" s="5">
        <v>-8</v>
      </c>
      <c r="B503" s="6" t="s">
        <v>147</v>
      </c>
      <c r="C503" s="6" t="s">
        <v>147</v>
      </c>
      <c r="D503" s="6" t="s">
        <v>10</v>
      </c>
      <c r="E503" s="5">
        <v>8047</v>
      </c>
      <c r="G503" s="9" t="s">
        <v>9</v>
      </c>
      <c r="H503" s="9">
        <v>46081</v>
      </c>
      <c r="I503" s="6" t="s">
        <v>2</v>
      </c>
      <c r="L503" s="18">
        <v>1</v>
      </c>
      <c r="M503" s="19">
        <v>0.84</v>
      </c>
      <c r="N503" s="18">
        <v>0.84</v>
      </c>
      <c r="T503" s="4"/>
      <c r="U503" s="4"/>
      <c r="V503" s="4"/>
      <c r="W503" s="4"/>
      <c r="X503" s="4"/>
      <c r="Y503" s="4"/>
      <c r="Z503" s="4"/>
      <c r="AA503" s="4"/>
      <c r="AD503" s="20" t="str">
        <f>IF((B503="")+(B503="Vacante")+(D503=""),"",IFERROR(MATCH(D503,{"Oficinas";"Locales";"Estacionamientos";"Bodegas"},0),5)&amp;"|"&amp;B503&amp;"|"&amp;TEXT(G503,"yyyymmdd")&amp;"|"&amp;TEXT(H503,"yyyymmdd"))</f>
        <v>3|CENTRAL PARKIING SYSTEM CHILE|-|20260228</v>
      </c>
      <c r="AE503" s="4"/>
      <c r="AF503" s="4"/>
    </row>
    <row r="504" spans="1:32" x14ac:dyDescent="0.2">
      <c r="A504" s="5">
        <v>-8</v>
      </c>
      <c r="B504" s="6" t="s">
        <v>147</v>
      </c>
      <c r="C504" s="6" t="s">
        <v>147</v>
      </c>
      <c r="D504" s="6" t="s">
        <v>10</v>
      </c>
      <c r="E504" s="5">
        <v>8048</v>
      </c>
      <c r="G504" s="9" t="s">
        <v>9</v>
      </c>
      <c r="H504" s="9">
        <v>46081</v>
      </c>
      <c r="I504" s="6" t="s">
        <v>2</v>
      </c>
      <c r="L504" s="18">
        <v>1</v>
      </c>
      <c r="M504" s="19">
        <v>0.84</v>
      </c>
      <c r="N504" s="18">
        <v>0.84</v>
      </c>
      <c r="T504" s="4"/>
      <c r="U504" s="4"/>
      <c r="V504" s="4"/>
      <c r="W504" s="4"/>
      <c r="X504" s="4"/>
      <c r="Y504" s="4"/>
      <c r="Z504" s="4"/>
      <c r="AA504" s="4"/>
      <c r="AD504" s="20" t="str">
        <f>IF((B504="")+(B504="Vacante")+(D504=""),"",IFERROR(MATCH(D504,{"Oficinas";"Locales";"Estacionamientos";"Bodegas"},0),5)&amp;"|"&amp;B504&amp;"|"&amp;TEXT(G504,"yyyymmdd")&amp;"|"&amp;TEXT(H504,"yyyymmdd"))</f>
        <v>3|CENTRAL PARKIING SYSTEM CHILE|-|20260228</v>
      </c>
      <c r="AE504" s="4"/>
      <c r="AF504" s="4"/>
    </row>
    <row r="505" spans="1:32" x14ac:dyDescent="0.2">
      <c r="A505" s="5">
        <v>-8</v>
      </c>
      <c r="B505" s="6" t="s">
        <v>147</v>
      </c>
      <c r="C505" s="6" t="s">
        <v>147</v>
      </c>
      <c r="D505" s="6" t="s">
        <v>10</v>
      </c>
      <c r="E505" s="5">
        <v>8049</v>
      </c>
      <c r="G505" s="9" t="s">
        <v>9</v>
      </c>
      <c r="H505" s="9">
        <v>46081</v>
      </c>
      <c r="I505" s="6" t="s">
        <v>2</v>
      </c>
      <c r="L505" s="18">
        <v>1</v>
      </c>
      <c r="M505" s="19">
        <v>0.84</v>
      </c>
      <c r="N505" s="18">
        <v>0.84</v>
      </c>
      <c r="T505" s="4"/>
      <c r="U505" s="4"/>
      <c r="V505" s="4"/>
      <c r="W505" s="4"/>
      <c r="X505" s="4"/>
      <c r="Y505" s="4"/>
      <c r="Z505" s="4"/>
      <c r="AA505" s="4"/>
      <c r="AD505" s="20" t="str">
        <f>IF((B505="")+(B505="Vacante")+(D505=""),"",IFERROR(MATCH(D505,{"Oficinas";"Locales";"Estacionamientos";"Bodegas"},0),5)&amp;"|"&amp;B505&amp;"|"&amp;TEXT(G505,"yyyymmdd")&amp;"|"&amp;TEXT(H505,"yyyymmdd"))</f>
        <v>3|CENTRAL PARKIING SYSTEM CHILE|-|20260228</v>
      </c>
      <c r="AE505" s="4"/>
      <c r="AF505" s="4"/>
    </row>
    <row r="506" spans="1:32" x14ac:dyDescent="0.2">
      <c r="A506" s="5">
        <v>-8</v>
      </c>
      <c r="B506" s="6" t="s">
        <v>147</v>
      </c>
      <c r="C506" s="6" t="s">
        <v>147</v>
      </c>
      <c r="D506" s="6" t="s">
        <v>10</v>
      </c>
      <c r="E506" s="5">
        <v>8050</v>
      </c>
      <c r="G506" s="9" t="s">
        <v>9</v>
      </c>
      <c r="H506" s="9">
        <v>46081</v>
      </c>
      <c r="I506" s="6" t="s">
        <v>2</v>
      </c>
      <c r="L506" s="18">
        <v>1</v>
      </c>
      <c r="M506" s="19">
        <v>0.84</v>
      </c>
      <c r="N506" s="18">
        <v>0.84</v>
      </c>
      <c r="T506" s="4"/>
      <c r="U506" s="4"/>
      <c r="V506" s="4"/>
      <c r="W506" s="4"/>
      <c r="X506" s="4"/>
      <c r="Y506" s="4"/>
      <c r="Z506" s="4"/>
      <c r="AA506" s="4"/>
      <c r="AD506" s="20" t="str">
        <f>IF((B506="")+(B506="Vacante")+(D506=""),"",IFERROR(MATCH(D506,{"Oficinas";"Locales";"Estacionamientos";"Bodegas"},0),5)&amp;"|"&amp;B506&amp;"|"&amp;TEXT(G506,"yyyymmdd")&amp;"|"&amp;TEXT(H506,"yyyymmdd"))</f>
        <v>3|CENTRAL PARKIING SYSTEM CHILE|-|20260228</v>
      </c>
      <c r="AE506" s="4"/>
      <c r="AF506" s="4"/>
    </row>
    <row r="507" spans="1:32" x14ac:dyDescent="0.2">
      <c r="A507" s="5">
        <v>-8</v>
      </c>
      <c r="B507" s="6" t="s">
        <v>147</v>
      </c>
      <c r="C507" s="6" t="s">
        <v>147</v>
      </c>
      <c r="D507" s="6" t="s">
        <v>10</v>
      </c>
      <c r="E507" s="5">
        <v>8051</v>
      </c>
      <c r="G507" s="9" t="s">
        <v>9</v>
      </c>
      <c r="H507" s="9">
        <v>46081</v>
      </c>
      <c r="I507" s="6" t="s">
        <v>2</v>
      </c>
      <c r="L507" s="18">
        <v>1</v>
      </c>
      <c r="M507" s="19">
        <v>0.84</v>
      </c>
      <c r="N507" s="18">
        <v>0.84</v>
      </c>
      <c r="T507" s="4"/>
      <c r="U507" s="4"/>
      <c r="V507" s="4"/>
      <c r="W507" s="4"/>
      <c r="X507" s="4"/>
      <c r="Y507" s="4"/>
      <c r="Z507" s="4"/>
      <c r="AA507" s="4"/>
      <c r="AD507" s="20" t="str">
        <f>IF((B507="")+(B507="Vacante")+(D507=""),"",IFERROR(MATCH(D507,{"Oficinas";"Locales";"Estacionamientos";"Bodegas"},0),5)&amp;"|"&amp;B507&amp;"|"&amp;TEXT(G507,"yyyymmdd")&amp;"|"&amp;TEXT(H507,"yyyymmdd"))</f>
        <v>3|CENTRAL PARKIING SYSTEM CHILE|-|20260228</v>
      </c>
      <c r="AE507" s="4"/>
      <c r="AF507" s="4"/>
    </row>
    <row r="508" spans="1:32" x14ac:dyDescent="0.2">
      <c r="A508" s="5">
        <v>-8</v>
      </c>
      <c r="B508" s="6" t="s">
        <v>147</v>
      </c>
      <c r="C508" s="6" t="s">
        <v>147</v>
      </c>
      <c r="D508" s="6" t="s">
        <v>10</v>
      </c>
      <c r="E508" s="5">
        <v>8052</v>
      </c>
      <c r="F508" s="6" t="s">
        <v>148</v>
      </c>
      <c r="G508" s="9" t="s">
        <v>9</v>
      </c>
      <c r="H508" s="9">
        <v>46081</v>
      </c>
      <c r="I508" s="6" t="s">
        <v>2</v>
      </c>
      <c r="L508" s="18">
        <v>1</v>
      </c>
      <c r="M508" s="19">
        <v>0.84</v>
      </c>
      <c r="N508" s="18">
        <v>0.84</v>
      </c>
      <c r="T508" s="4"/>
      <c r="U508" s="4"/>
      <c r="V508" s="4"/>
      <c r="W508" s="4"/>
      <c r="X508" s="4"/>
      <c r="Y508" s="4"/>
      <c r="Z508" s="4"/>
      <c r="AA508" s="4"/>
      <c r="AD508" s="20" t="str">
        <f>IF((B508="")+(B508="Vacante")+(D508=""),"",IFERROR(MATCH(D508,{"Oficinas";"Locales";"Estacionamientos";"Bodegas"},0),5)&amp;"|"&amp;B508&amp;"|"&amp;TEXT(G508,"yyyymmdd")&amp;"|"&amp;TEXT(H508,"yyyymmdd"))</f>
        <v>3|CENTRAL PARKIING SYSTEM CHILE|-|20260228</v>
      </c>
      <c r="AE508" s="4"/>
      <c r="AF508" s="4"/>
    </row>
    <row r="509" spans="1:32" x14ac:dyDescent="0.2">
      <c r="A509" s="5">
        <v>-8</v>
      </c>
      <c r="B509" s="6" t="s">
        <v>147</v>
      </c>
      <c r="C509" s="6" t="s">
        <v>147</v>
      </c>
      <c r="D509" s="6" t="s">
        <v>10</v>
      </c>
      <c r="E509" s="5">
        <v>8053</v>
      </c>
      <c r="F509" s="6" t="s">
        <v>149</v>
      </c>
      <c r="G509" s="9" t="s">
        <v>9</v>
      </c>
      <c r="H509" s="9">
        <v>46081</v>
      </c>
      <c r="I509" s="6" t="s">
        <v>2</v>
      </c>
      <c r="L509" s="18">
        <v>1</v>
      </c>
      <c r="M509" s="19">
        <v>0.84</v>
      </c>
      <c r="N509" s="18">
        <v>0.84</v>
      </c>
      <c r="T509" s="4"/>
      <c r="U509" s="4"/>
      <c r="V509" s="4"/>
      <c r="W509" s="4"/>
      <c r="X509" s="4"/>
      <c r="Y509" s="4"/>
      <c r="Z509" s="4"/>
      <c r="AA509" s="4"/>
      <c r="AD509" s="20" t="str">
        <f>IF((B509="")+(B509="Vacante")+(D509=""),"",IFERROR(MATCH(D509,{"Oficinas";"Locales";"Estacionamientos";"Bodegas"},0),5)&amp;"|"&amp;B509&amp;"|"&amp;TEXT(G509,"yyyymmdd")&amp;"|"&amp;TEXT(H509,"yyyymmdd"))</f>
        <v>3|CENTRAL PARKIING SYSTEM CHILE|-|20260228</v>
      </c>
      <c r="AE509" s="4"/>
      <c r="AF509" s="4"/>
    </row>
    <row r="510" spans="1:32" x14ac:dyDescent="0.2">
      <c r="A510" s="5">
        <v>-8</v>
      </c>
      <c r="B510" s="6" t="s">
        <v>147</v>
      </c>
      <c r="C510" s="6" t="s">
        <v>147</v>
      </c>
      <c r="D510" s="6" t="s">
        <v>10</v>
      </c>
      <c r="E510" s="5">
        <v>8054</v>
      </c>
      <c r="F510" s="6" t="s">
        <v>150</v>
      </c>
      <c r="G510" s="9" t="s">
        <v>9</v>
      </c>
      <c r="H510" s="9">
        <v>46081</v>
      </c>
      <c r="I510" s="6" t="s">
        <v>2</v>
      </c>
      <c r="L510" s="18">
        <v>1</v>
      </c>
      <c r="M510" s="19">
        <v>0.84</v>
      </c>
      <c r="N510" s="18">
        <v>0.84</v>
      </c>
      <c r="T510" s="4"/>
      <c r="U510" s="4"/>
      <c r="V510" s="4"/>
      <c r="W510" s="4"/>
      <c r="X510" s="4"/>
      <c r="Y510" s="4"/>
      <c r="Z510" s="4"/>
      <c r="AA510" s="4"/>
      <c r="AD510" s="20" t="str">
        <f>IF((B510="")+(B510="Vacante")+(D510=""),"",IFERROR(MATCH(D510,{"Oficinas";"Locales";"Estacionamientos";"Bodegas"},0),5)&amp;"|"&amp;B510&amp;"|"&amp;TEXT(G510,"yyyymmdd")&amp;"|"&amp;TEXT(H510,"yyyymmdd"))</f>
        <v>3|CENTRAL PARKIING SYSTEM CHILE|-|20260228</v>
      </c>
      <c r="AE510" s="4"/>
      <c r="AF510" s="4"/>
    </row>
    <row r="511" spans="1:32" x14ac:dyDescent="0.2">
      <c r="A511" s="5">
        <v>-8</v>
      </c>
      <c r="B511" s="6" t="s">
        <v>147</v>
      </c>
      <c r="C511" s="6" t="s">
        <v>147</v>
      </c>
      <c r="D511" s="6" t="s">
        <v>10</v>
      </c>
      <c r="E511" s="5">
        <v>8055</v>
      </c>
      <c r="G511" s="9" t="s">
        <v>9</v>
      </c>
      <c r="H511" s="9">
        <v>46081</v>
      </c>
      <c r="I511" s="6" t="s">
        <v>2</v>
      </c>
      <c r="L511" s="18">
        <v>1</v>
      </c>
      <c r="M511" s="19">
        <v>0.84</v>
      </c>
      <c r="N511" s="18">
        <v>0.84</v>
      </c>
      <c r="T511" s="4"/>
      <c r="U511" s="4"/>
      <c r="V511" s="4"/>
      <c r="W511" s="4"/>
      <c r="X511" s="4"/>
      <c r="Y511" s="4"/>
      <c r="Z511" s="4"/>
      <c r="AA511" s="4"/>
      <c r="AD511" s="20" t="str">
        <f>IF((B511="")+(B511="Vacante")+(D511=""),"",IFERROR(MATCH(D511,{"Oficinas";"Locales";"Estacionamientos";"Bodegas"},0),5)&amp;"|"&amp;B511&amp;"|"&amp;TEXT(G511,"yyyymmdd")&amp;"|"&amp;TEXT(H511,"yyyymmdd"))</f>
        <v>3|CENTRAL PARKIING SYSTEM CHILE|-|20260228</v>
      </c>
      <c r="AE511" s="4"/>
      <c r="AF511" s="4"/>
    </row>
    <row r="512" spans="1:32" x14ac:dyDescent="0.2">
      <c r="A512" s="5">
        <v>-8</v>
      </c>
      <c r="B512" s="6" t="s">
        <v>147</v>
      </c>
      <c r="C512" s="6" t="s">
        <v>147</v>
      </c>
      <c r="D512" s="6" t="s">
        <v>10</v>
      </c>
      <c r="E512" s="5">
        <v>8056</v>
      </c>
      <c r="F512" s="6" t="s">
        <v>151</v>
      </c>
      <c r="G512" s="9" t="s">
        <v>9</v>
      </c>
      <c r="H512" s="9">
        <v>46081</v>
      </c>
      <c r="I512" s="6" t="s">
        <v>2</v>
      </c>
      <c r="L512" s="18">
        <v>1</v>
      </c>
      <c r="M512" s="19">
        <v>0.84</v>
      </c>
      <c r="N512" s="18">
        <v>0.84</v>
      </c>
      <c r="T512" s="4"/>
      <c r="U512" s="4"/>
      <c r="V512" s="4"/>
      <c r="W512" s="4"/>
      <c r="X512" s="4"/>
      <c r="Y512" s="4"/>
      <c r="Z512" s="4"/>
      <c r="AA512" s="4"/>
      <c r="AD512" s="20" t="str">
        <f>IF((B512="")+(B512="Vacante")+(D512=""),"",IFERROR(MATCH(D512,{"Oficinas";"Locales";"Estacionamientos";"Bodegas"},0),5)&amp;"|"&amp;B512&amp;"|"&amp;TEXT(G512,"yyyymmdd")&amp;"|"&amp;TEXT(H512,"yyyymmdd"))</f>
        <v>3|CENTRAL PARKIING SYSTEM CHILE|-|20260228</v>
      </c>
      <c r="AE512" s="4"/>
      <c r="AF512" s="4"/>
    </row>
    <row r="513" spans="1:32" x14ac:dyDescent="0.2">
      <c r="A513" s="5">
        <v>-8</v>
      </c>
      <c r="B513" s="6" t="s">
        <v>147</v>
      </c>
      <c r="C513" s="6" t="s">
        <v>147</v>
      </c>
      <c r="D513" s="6" t="s">
        <v>10</v>
      </c>
      <c r="E513" s="5">
        <v>8057</v>
      </c>
      <c r="F513" s="6" t="s">
        <v>152</v>
      </c>
      <c r="G513" s="9" t="s">
        <v>9</v>
      </c>
      <c r="H513" s="9">
        <v>46081</v>
      </c>
      <c r="I513" s="6" t="s">
        <v>2</v>
      </c>
      <c r="L513" s="18">
        <v>1</v>
      </c>
      <c r="M513" s="19">
        <v>0.84</v>
      </c>
      <c r="N513" s="18">
        <v>0.84</v>
      </c>
      <c r="T513" s="4"/>
      <c r="U513" s="4"/>
      <c r="V513" s="4"/>
      <c r="W513" s="4"/>
      <c r="X513" s="4"/>
      <c r="Y513" s="4"/>
      <c r="Z513" s="4"/>
      <c r="AA513" s="4"/>
      <c r="AD513" s="20" t="str">
        <f>IF((B513="")+(B513="Vacante")+(D513=""),"",IFERROR(MATCH(D513,{"Oficinas";"Locales";"Estacionamientos";"Bodegas"},0),5)&amp;"|"&amp;B513&amp;"|"&amp;TEXT(G513,"yyyymmdd")&amp;"|"&amp;TEXT(H513,"yyyymmdd"))</f>
        <v>3|CENTRAL PARKIING SYSTEM CHILE|-|20260228</v>
      </c>
      <c r="AE513" s="4"/>
      <c r="AF513" s="4"/>
    </row>
    <row r="514" spans="1:32" x14ac:dyDescent="0.2">
      <c r="A514" s="5">
        <v>-8</v>
      </c>
      <c r="B514" s="6" t="s">
        <v>147</v>
      </c>
      <c r="C514" s="6" t="s">
        <v>147</v>
      </c>
      <c r="D514" s="6" t="s">
        <v>10</v>
      </c>
      <c r="E514" s="5">
        <v>8058</v>
      </c>
      <c r="F514" s="6" t="s">
        <v>153</v>
      </c>
      <c r="G514" s="9" t="s">
        <v>9</v>
      </c>
      <c r="H514" s="9">
        <v>46081</v>
      </c>
      <c r="I514" s="6" t="s">
        <v>2</v>
      </c>
      <c r="L514" s="18">
        <v>1</v>
      </c>
      <c r="M514" s="19">
        <v>0.84</v>
      </c>
      <c r="N514" s="18">
        <v>0.84</v>
      </c>
      <c r="T514" s="4"/>
      <c r="U514" s="4"/>
      <c r="V514" s="4"/>
      <c r="W514" s="4"/>
      <c r="X514" s="4"/>
      <c r="Y514" s="4"/>
      <c r="Z514" s="4"/>
      <c r="AA514" s="4"/>
      <c r="AD514" s="20" t="str">
        <f>IF((B514="")+(B514="Vacante")+(D514=""),"",IFERROR(MATCH(D514,{"Oficinas";"Locales";"Estacionamientos";"Bodegas"},0),5)&amp;"|"&amp;B514&amp;"|"&amp;TEXT(G514,"yyyymmdd")&amp;"|"&amp;TEXT(H514,"yyyymmdd"))</f>
        <v>3|CENTRAL PARKIING SYSTEM CHILE|-|20260228</v>
      </c>
      <c r="AE514" s="4"/>
      <c r="AF514" s="4"/>
    </row>
    <row r="515" spans="1:32" x14ac:dyDescent="0.2">
      <c r="A515" s="5">
        <v>-8</v>
      </c>
      <c r="B515" s="6" t="s">
        <v>147</v>
      </c>
      <c r="C515" s="6" t="s">
        <v>147</v>
      </c>
      <c r="D515" s="6" t="s">
        <v>10</v>
      </c>
      <c r="E515" s="5">
        <v>8059</v>
      </c>
      <c r="F515" s="6" t="s">
        <v>154</v>
      </c>
      <c r="G515" s="9" t="s">
        <v>9</v>
      </c>
      <c r="H515" s="9">
        <v>46081</v>
      </c>
      <c r="I515" s="6" t="s">
        <v>2</v>
      </c>
      <c r="L515" s="18">
        <v>1</v>
      </c>
      <c r="M515" s="19">
        <v>0.84</v>
      </c>
      <c r="N515" s="18">
        <v>0.84</v>
      </c>
      <c r="T515" s="4"/>
      <c r="U515" s="4"/>
      <c r="V515" s="4"/>
      <c r="W515" s="4"/>
      <c r="X515" s="4"/>
      <c r="Y515" s="4"/>
      <c r="Z515" s="4"/>
      <c r="AA515" s="4"/>
      <c r="AD515" s="20" t="str">
        <f>IF((B515="")+(B515="Vacante")+(D515=""),"",IFERROR(MATCH(D515,{"Oficinas";"Locales";"Estacionamientos";"Bodegas"},0),5)&amp;"|"&amp;B515&amp;"|"&amp;TEXT(G515,"yyyymmdd")&amp;"|"&amp;TEXT(H515,"yyyymmdd"))</f>
        <v>3|CENTRAL PARKIING SYSTEM CHILE|-|20260228</v>
      </c>
      <c r="AE515" s="4"/>
      <c r="AF515" s="4"/>
    </row>
    <row r="516" spans="1:32" x14ac:dyDescent="0.2">
      <c r="A516" s="5">
        <v>-8</v>
      </c>
      <c r="B516" s="6" t="s">
        <v>147</v>
      </c>
      <c r="C516" s="6" t="s">
        <v>147</v>
      </c>
      <c r="D516" s="6" t="s">
        <v>10</v>
      </c>
      <c r="E516" s="5">
        <v>8060</v>
      </c>
      <c r="G516" s="9" t="s">
        <v>9</v>
      </c>
      <c r="H516" s="9">
        <v>46081</v>
      </c>
      <c r="I516" s="6" t="s">
        <v>2</v>
      </c>
      <c r="L516" s="18">
        <v>1</v>
      </c>
      <c r="M516" s="19">
        <v>0.84</v>
      </c>
      <c r="N516" s="18">
        <v>0.84</v>
      </c>
      <c r="T516" s="4"/>
      <c r="U516" s="4"/>
      <c r="V516" s="4"/>
      <c r="W516" s="4"/>
      <c r="X516" s="4"/>
      <c r="Y516" s="4"/>
      <c r="Z516" s="4"/>
      <c r="AA516" s="4"/>
      <c r="AD516" s="20" t="str">
        <f>IF((B516="")+(B516="Vacante")+(D516=""),"",IFERROR(MATCH(D516,{"Oficinas";"Locales";"Estacionamientos";"Bodegas"},0),5)&amp;"|"&amp;B516&amp;"|"&amp;TEXT(G516,"yyyymmdd")&amp;"|"&amp;TEXT(H516,"yyyymmdd"))</f>
        <v>3|CENTRAL PARKIING SYSTEM CHILE|-|20260228</v>
      </c>
      <c r="AE516" s="4"/>
      <c r="AF516" s="4"/>
    </row>
    <row r="517" spans="1:32" x14ac:dyDescent="0.2">
      <c r="A517" s="5">
        <v>-8</v>
      </c>
      <c r="B517" s="6" t="s">
        <v>147</v>
      </c>
      <c r="C517" s="6" t="s">
        <v>147</v>
      </c>
      <c r="D517" s="6" t="s">
        <v>10</v>
      </c>
      <c r="E517" s="5">
        <v>8061</v>
      </c>
      <c r="G517" s="9" t="s">
        <v>9</v>
      </c>
      <c r="H517" s="9">
        <v>46081</v>
      </c>
      <c r="I517" s="6" t="s">
        <v>2</v>
      </c>
      <c r="L517" s="18">
        <v>1</v>
      </c>
      <c r="M517" s="19">
        <v>0.84</v>
      </c>
      <c r="N517" s="18">
        <v>0.84</v>
      </c>
      <c r="T517" s="4"/>
      <c r="U517" s="4"/>
      <c r="V517" s="4"/>
      <c r="W517" s="4"/>
      <c r="X517" s="4"/>
      <c r="Y517" s="4"/>
      <c r="Z517" s="4"/>
      <c r="AA517" s="4"/>
      <c r="AD517" s="20" t="str">
        <f>IF((B517="")+(B517="Vacante")+(D517=""),"",IFERROR(MATCH(D517,{"Oficinas";"Locales";"Estacionamientos";"Bodegas"},0),5)&amp;"|"&amp;B517&amp;"|"&amp;TEXT(G517,"yyyymmdd")&amp;"|"&amp;TEXT(H517,"yyyymmdd"))</f>
        <v>3|CENTRAL PARKIING SYSTEM CHILE|-|20260228</v>
      </c>
      <c r="AE517" s="4"/>
      <c r="AF517" s="4"/>
    </row>
    <row r="518" spans="1:32" x14ac:dyDescent="0.2">
      <c r="A518" s="5">
        <v>-8</v>
      </c>
      <c r="B518" s="6" t="s">
        <v>147</v>
      </c>
      <c r="C518" s="6" t="s">
        <v>147</v>
      </c>
      <c r="D518" s="6" t="s">
        <v>10</v>
      </c>
      <c r="E518" s="5">
        <v>8062</v>
      </c>
      <c r="G518" s="9" t="s">
        <v>9</v>
      </c>
      <c r="H518" s="9">
        <v>46081</v>
      </c>
      <c r="I518" s="6" t="s">
        <v>2</v>
      </c>
      <c r="L518" s="18">
        <v>1</v>
      </c>
      <c r="M518" s="19">
        <v>0.84</v>
      </c>
      <c r="N518" s="18">
        <v>0.84</v>
      </c>
      <c r="T518" s="4"/>
      <c r="U518" s="4"/>
      <c r="V518" s="4"/>
      <c r="W518" s="4"/>
      <c r="X518" s="4"/>
      <c r="Y518" s="4"/>
      <c r="Z518" s="4"/>
      <c r="AA518" s="4"/>
      <c r="AD518" s="20" t="str">
        <f>IF((B518="")+(B518="Vacante")+(D518=""),"",IFERROR(MATCH(D518,{"Oficinas";"Locales";"Estacionamientos";"Bodegas"},0),5)&amp;"|"&amp;B518&amp;"|"&amp;TEXT(G518,"yyyymmdd")&amp;"|"&amp;TEXT(H518,"yyyymmdd"))</f>
        <v>3|CENTRAL PARKIING SYSTEM CHILE|-|20260228</v>
      </c>
      <c r="AE518" s="4"/>
      <c r="AF518" s="4"/>
    </row>
    <row r="519" spans="1:32" x14ac:dyDescent="0.2">
      <c r="A519" s="5">
        <v>-8</v>
      </c>
      <c r="B519" s="6" t="s">
        <v>147</v>
      </c>
      <c r="C519" s="6" t="s">
        <v>147</v>
      </c>
      <c r="D519" s="6" t="s">
        <v>10</v>
      </c>
      <c r="E519" s="5">
        <v>8063</v>
      </c>
      <c r="G519" s="9" t="s">
        <v>9</v>
      </c>
      <c r="H519" s="9">
        <v>46081</v>
      </c>
      <c r="I519" s="6" t="s">
        <v>2</v>
      </c>
      <c r="L519" s="18">
        <v>1</v>
      </c>
      <c r="M519" s="19">
        <v>0.84</v>
      </c>
      <c r="N519" s="18">
        <v>0.84</v>
      </c>
      <c r="T519" s="4"/>
      <c r="U519" s="4"/>
      <c r="V519" s="4"/>
      <c r="W519" s="4"/>
      <c r="X519" s="4"/>
      <c r="Y519" s="4"/>
      <c r="Z519" s="4"/>
      <c r="AA519" s="4"/>
      <c r="AD519" s="20" t="str">
        <f>IF((B519="")+(B519="Vacante")+(D519=""),"",IFERROR(MATCH(D519,{"Oficinas";"Locales";"Estacionamientos";"Bodegas"},0),5)&amp;"|"&amp;B519&amp;"|"&amp;TEXT(G519,"yyyymmdd")&amp;"|"&amp;TEXT(H519,"yyyymmdd"))</f>
        <v>3|CENTRAL PARKIING SYSTEM CHILE|-|20260228</v>
      </c>
      <c r="AE519" s="4"/>
      <c r="AF519" s="4"/>
    </row>
    <row r="520" spans="1:32" x14ac:dyDescent="0.2">
      <c r="A520" s="5">
        <v>-8</v>
      </c>
      <c r="B520" s="6" t="s">
        <v>147</v>
      </c>
      <c r="C520" s="6" t="s">
        <v>147</v>
      </c>
      <c r="D520" s="6" t="s">
        <v>10</v>
      </c>
      <c r="E520" s="5">
        <v>8064</v>
      </c>
      <c r="G520" s="9" t="s">
        <v>9</v>
      </c>
      <c r="H520" s="9">
        <v>46081</v>
      </c>
      <c r="I520" s="6" t="s">
        <v>2</v>
      </c>
      <c r="L520" s="18">
        <v>1</v>
      </c>
      <c r="M520" s="19">
        <v>0.84</v>
      </c>
      <c r="N520" s="18">
        <v>0.84</v>
      </c>
      <c r="T520" s="4"/>
      <c r="U520" s="4"/>
      <c r="V520" s="4"/>
      <c r="W520" s="4"/>
      <c r="X520" s="4"/>
      <c r="Y520" s="4"/>
      <c r="Z520" s="4"/>
      <c r="AA520" s="4"/>
      <c r="AD520" s="20" t="str">
        <f>IF((B520="")+(B520="Vacante")+(D520=""),"",IFERROR(MATCH(D520,{"Oficinas";"Locales";"Estacionamientos";"Bodegas"},0),5)&amp;"|"&amp;B520&amp;"|"&amp;TEXT(G520,"yyyymmdd")&amp;"|"&amp;TEXT(H520,"yyyymmdd"))</f>
        <v>3|CENTRAL PARKIING SYSTEM CHILE|-|20260228</v>
      </c>
      <c r="AE520" s="4"/>
      <c r="AF520" s="4"/>
    </row>
    <row r="521" spans="1:32" x14ac:dyDescent="0.2">
      <c r="A521" s="5">
        <v>-8</v>
      </c>
      <c r="B521" s="6" t="s">
        <v>147</v>
      </c>
      <c r="C521" s="6" t="s">
        <v>147</v>
      </c>
      <c r="D521" s="6" t="s">
        <v>10</v>
      </c>
      <c r="E521" s="5">
        <v>8065</v>
      </c>
      <c r="G521" s="9" t="s">
        <v>9</v>
      </c>
      <c r="H521" s="9">
        <v>46081</v>
      </c>
      <c r="I521" s="6" t="s">
        <v>2</v>
      </c>
      <c r="L521" s="18">
        <v>1</v>
      </c>
      <c r="M521" s="19">
        <v>0.84</v>
      </c>
      <c r="N521" s="18">
        <v>0.84</v>
      </c>
      <c r="T521" s="4"/>
      <c r="U521" s="4"/>
      <c r="V521" s="4"/>
      <c r="W521" s="4"/>
      <c r="X521" s="4"/>
      <c r="Y521" s="4"/>
      <c r="Z521" s="4"/>
      <c r="AA521" s="4"/>
      <c r="AD521" s="20" t="str">
        <f>IF((B521="")+(B521="Vacante")+(D521=""),"",IFERROR(MATCH(D521,{"Oficinas";"Locales";"Estacionamientos";"Bodegas"},0),5)&amp;"|"&amp;B521&amp;"|"&amp;TEXT(G521,"yyyymmdd")&amp;"|"&amp;TEXT(H521,"yyyymmdd"))</f>
        <v>3|CENTRAL PARKIING SYSTEM CHILE|-|20260228</v>
      </c>
      <c r="AE521" s="4"/>
      <c r="AF521" s="4"/>
    </row>
    <row r="522" spans="1:32" x14ac:dyDescent="0.2">
      <c r="A522" s="5">
        <v>-8</v>
      </c>
      <c r="B522" s="6" t="s">
        <v>147</v>
      </c>
      <c r="C522" s="6" t="s">
        <v>147</v>
      </c>
      <c r="D522" s="6" t="s">
        <v>10</v>
      </c>
      <c r="E522" s="5">
        <v>8066</v>
      </c>
      <c r="G522" s="9" t="s">
        <v>9</v>
      </c>
      <c r="H522" s="9">
        <v>46081</v>
      </c>
      <c r="I522" s="6" t="s">
        <v>2</v>
      </c>
      <c r="L522" s="18">
        <v>1</v>
      </c>
      <c r="M522" s="19">
        <v>0.84</v>
      </c>
      <c r="N522" s="18">
        <v>0.84</v>
      </c>
      <c r="T522" s="4"/>
      <c r="U522" s="4"/>
      <c r="V522" s="4"/>
      <c r="W522" s="4"/>
      <c r="X522" s="4"/>
      <c r="Y522" s="4"/>
      <c r="Z522" s="4"/>
      <c r="AA522" s="4"/>
      <c r="AD522" s="20" t="str">
        <f>IF((B522="")+(B522="Vacante")+(D522=""),"",IFERROR(MATCH(D522,{"Oficinas";"Locales";"Estacionamientos";"Bodegas"},0),5)&amp;"|"&amp;B522&amp;"|"&amp;TEXT(G522,"yyyymmdd")&amp;"|"&amp;TEXT(H522,"yyyymmdd"))</f>
        <v>3|CENTRAL PARKIING SYSTEM CHILE|-|20260228</v>
      </c>
      <c r="AE522" s="4"/>
      <c r="AF522" s="4"/>
    </row>
    <row r="523" spans="1:32" x14ac:dyDescent="0.2">
      <c r="A523" s="5">
        <v>-8</v>
      </c>
      <c r="B523" s="6" t="s">
        <v>147</v>
      </c>
      <c r="C523" s="6" t="s">
        <v>147</v>
      </c>
      <c r="D523" s="6" t="s">
        <v>10</v>
      </c>
      <c r="E523" s="5">
        <v>8067</v>
      </c>
      <c r="G523" s="9" t="s">
        <v>9</v>
      </c>
      <c r="H523" s="9">
        <v>46081</v>
      </c>
      <c r="I523" s="6" t="s">
        <v>2</v>
      </c>
      <c r="L523" s="18">
        <v>1</v>
      </c>
      <c r="M523" s="19">
        <v>0.84</v>
      </c>
      <c r="N523" s="18">
        <v>0.84</v>
      </c>
      <c r="T523" s="4"/>
      <c r="U523" s="4"/>
      <c r="V523" s="4"/>
      <c r="W523" s="4"/>
      <c r="X523" s="4"/>
      <c r="Y523" s="4"/>
      <c r="Z523" s="4"/>
      <c r="AA523" s="4"/>
      <c r="AD523" s="20" t="str">
        <f>IF((B523="")+(B523="Vacante")+(D523=""),"",IFERROR(MATCH(D523,{"Oficinas";"Locales";"Estacionamientos";"Bodegas"},0),5)&amp;"|"&amp;B523&amp;"|"&amp;TEXT(G523,"yyyymmdd")&amp;"|"&amp;TEXT(H523,"yyyymmdd"))</f>
        <v>3|CENTRAL PARKIING SYSTEM CHILE|-|20260228</v>
      </c>
      <c r="AE523" s="4"/>
      <c r="AF523" s="4"/>
    </row>
    <row r="524" spans="1:32" x14ac:dyDescent="0.2">
      <c r="A524" s="5">
        <v>-8</v>
      </c>
      <c r="B524" s="6" t="s">
        <v>147</v>
      </c>
      <c r="C524" s="6" t="s">
        <v>147</v>
      </c>
      <c r="D524" s="6" t="s">
        <v>10</v>
      </c>
      <c r="E524" s="5">
        <v>8068</v>
      </c>
      <c r="G524" s="9" t="s">
        <v>9</v>
      </c>
      <c r="H524" s="9">
        <v>46081</v>
      </c>
      <c r="I524" s="6" t="s">
        <v>2</v>
      </c>
      <c r="L524" s="18">
        <v>1</v>
      </c>
      <c r="M524" s="19">
        <v>0.84</v>
      </c>
      <c r="N524" s="18">
        <v>0.84</v>
      </c>
      <c r="T524" s="4"/>
      <c r="U524" s="4"/>
      <c r="V524" s="4"/>
      <c r="W524" s="4"/>
      <c r="X524" s="4"/>
      <c r="Y524" s="4"/>
      <c r="Z524" s="4"/>
      <c r="AA524" s="4"/>
      <c r="AD524" s="20" t="str">
        <f>IF((B524="")+(B524="Vacante")+(D524=""),"",IFERROR(MATCH(D524,{"Oficinas";"Locales";"Estacionamientos";"Bodegas"},0),5)&amp;"|"&amp;B524&amp;"|"&amp;TEXT(G524,"yyyymmdd")&amp;"|"&amp;TEXT(H524,"yyyymmdd"))</f>
        <v>3|CENTRAL PARKIING SYSTEM CHILE|-|20260228</v>
      </c>
      <c r="AE524" s="4"/>
      <c r="AF524" s="4"/>
    </row>
    <row r="525" spans="1:32" x14ac:dyDescent="0.2">
      <c r="A525" s="5">
        <v>-8</v>
      </c>
      <c r="B525" s="6" t="s">
        <v>147</v>
      </c>
      <c r="C525" s="6" t="s">
        <v>147</v>
      </c>
      <c r="D525" s="6" t="s">
        <v>10</v>
      </c>
      <c r="E525" s="5">
        <v>8069</v>
      </c>
      <c r="G525" s="9" t="s">
        <v>9</v>
      </c>
      <c r="H525" s="9">
        <v>46081</v>
      </c>
      <c r="I525" s="6" t="s">
        <v>2</v>
      </c>
      <c r="L525" s="18">
        <v>1</v>
      </c>
      <c r="M525" s="19">
        <v>0.84</v>
      </c>
      <c r="N525" s="18">
        <v>0.84</v>
      </c>
      <c r="T525" s="4"/>
      <c r="U525" s="4"/>
      <c r="V525" s="4"/>
      <c r="W525" s="4"/>
      <c r="X525" s="4"/>
      <c r="Y525" s="4"/>
      <c r="Z525" s="4"/>
      <c r="AA525" s="4"/>
      <c r="AD525" s="20" t="str">
        <f>IF((B525="")+(B525="Vacante")+(D525=""),"",IFERROR(MATCH(D525,{"Oficinas";"Locales";"Estacionamientos";"Bodegas"},0),5)&amp;"|"&amp;B525&amp;"|"&amp;TEXT(G525,"yyyymmdd")&amp;"|"&amp;TEXT(H525,"yyyymmdd"))</f>
        <v>3|CENTRAL PARKIING SYSTEM CHILE|-|20260228</v>
      </c>
      <c r="AE525" s="4"/>
      <c r="AF525" s="4"/>
    </row>
    <row r="526" spans="1:32" x14ac:dyDescent="0.2">
      <c r="A526" s="5">
        <v>-8</v>
      </c>
      <c r="B526" s="6" t="s">
        <v>147</v>
      </c>
      <c r="C526" s="6" t="s">
        <v>147</v>
      </c>
      <c r="D526" s="6" t="s">
        <v>10</v>
      </c>
      <c r="E526" s="5">
        <v>8070</v>
      </c>
      <c r="G526" s="9" t="s">
        <v>9</v>
      </c>
      <c r="H526" s="9">
        <v>46081</v>
      </c>
      <c r="I526" s="6" t="s">
        <v>2</v>
      </c>
      <c r="L526" s="18">
        <v>1</v>
      </c>
      <c r="M526" s="19">
        <v>0.84</v>
      </c>
      <c r="N526" s="18">
        <v>0.84</v>
      </c>
      <c r="T526" s="4"/>
      <c r="U526" s="4"/>
      <c r="V526" s="4"/>
      <c r="W526" s="4"/>
      <c r="X526" s="4"/>
      <c r="Y526" s="4"/>
      <c r="Z526" s="4"/>
      <c r="AA526" s="4"/>
      <c r="AD526" s="20" t="str">
        <f>IF((B526="")+(B526="Vacante")+(D526=""),"",IFERROR(MATCH(D526,{"Oficinas";"Locales";"Estacionamientos";"Bodegas"},0),5)&amp;"|"&amp;B526&amp;"|"&amp;TEXT(G526,"yyyymmdd")&amp;"|"&amp;TEXT(H526,"yyyymmdd"))</f>
        <v>3|CENTRAL PARKIING SYSTEM CHILE|-|20260228</v>
      </c>
      <c r="AE526" s="4"/>
      <c r="AF526" s="4"/>
    </row>
    <row r="527" spans="1:32" x14ac:dyDescent="0.2">
      <c r="A527" s="5">
        <v>-8</v>
      </c>
      <c r="B527" s="6" t="s">
        <v>147</v>
      </c>
      <c r="C527" s="6" t="s">
        <v>147</v>
      </c>
      <c r="D527" s="6" t="s">
        <v>10</v>
      </c>
      <c r="E527" s="5">
        <v>8071</v>
      </c>
      <c r="G527" s="9" t="s">
        <v>9</v>
      </c>
      <c r="H527" s="9">
        <v>46081</v>
      </c>
      <c r="I527" s="6" t="s">
        <v>2</v>
      </c>
      <c r="L527" s="18">
        <v>1</v>
      </c>
      <c r="M527" s="19">
        <v>0.84</v>
      </c>
      <c r="N527" s="18">
        <v>0.84</v>
      </c>
      <c r="T527" s="4"/>
      <c r="U527" s="4"/>
      <c r="V527" s="4"/>
      <c r="W527" s="4"/>
      <c r="X527" s="4"/>
      <c r="Y527" s="4"/>
      <c r="Z527" s="4"/>
      <c r="AA527" s="4"/>
      <c r="AD527" s="20" t="str">
        <f>IF((B527="")+(B527="Vacante")+(D527=""),"",IFERROR(MATCH(D527,{"Oficinas";"Locales";"Estacionamientos";"Bodegas"},0),5)&amp;"|"&amp;B527&amp;"|"&amp;TEXT(G527,"yyyymmdd")&amp;"|"&amp;TEXT(H527,"yyyymmdd"))</f>
        <v>3|CENTRAL PARKIING SYSTEM CHILE|-|20260228</v>
      </c>
      <c r="AE527" s="4"/>
      <c r="AF527" s="4"/>
    </row>
    <row r="528" spans="1:32" x14ac:dyDescent="0.2">
      <c r="A528" s="5">
        <v>-8</v>
      </c>
      <c r="B528" s="6" t="s">
        <v>147</v>
      </c>
      <c r="C528" s="6" t="s">
        <v>147</v>
      </c>
      <c r="D528" s="6" t="s">
        <v>10</v>
      </c>
      <c r="E528" s="5">
        <v>8072</v>
      </c>
      <c r="G528" s="9" t="s">
        <v>9</v>
      </c>
      <c r="H528" s="9">
        <v>46081</v>
      </c>
      <c r="I528" s="6" t="s">
        <v>2</v>
      </c>
      <c r="L528" s="18">
        <v>1</v>
      </c>
      <c r="M528" s="19">
        <v>0.84</v>
      </c>
      <c r="N528" s="18">
        <v>0.84</v>
      </c>
      <c r="T528" s="4"/>
      <c r="U528" s="4"/>
      <c r="V528" s="4"/>
      <c r="W528" s="4"/>
      <c r="X528" s="4"/>
      <c r="Y528" s="4"/>
      <c r="Z528" s="4"/>
      <c r="AA528" s="4"/>
      <c r="AD528" s="20" t="str">
        <f>IF((B528="")+(B528="Vacante")+(D528=""),"",IFERROR(MATCH(D528,{"Oficinas";"Locales";"Estacionamientos";"Bodegas"},0),5)&amp;"|"&amp;B528&amp;"|"&amp;TEXT(G528,"yyyymmdd")&amp;"|"&amp;TEXT(H528,"yyyymmdd"))</f>
        <v>3|CENTRAL PARKIING SYSTEM CHILE|-|20260228</v>
      </c>
      <c r="AE528" s="4"/>
      <c r="AF528" s="4"/>
    </row>
    <row r="529" spans="1:32" x14ac:dyDescent="0.2">
      <c r="A529" s="5">
        <v>-8</v>
      </c>
      <c r="B529" s="6" t="s">
        <v>147</v>
      </c>
      <c r="C529" s="6" t="s">
        <v>147</v>
      </c>
      <c r="D529" s="6" t="s">
        <v>10</v>
      </c>
      <c r="E529" s="5">
        <v>8073</v>
      </c>
      <c r="G529" s="9" t="s">
        <v>9</v>
      </c>
      <c r="H529" s="9">
        <v>46081</v>
      </c>
      <c r="I529" s="6" t="s">
        <v>2</v>
      </c>
      <c r="L529" s="18">
        <v>1</v>
      </c>
      <c r="M529" s="19">
        <v>0.84</v>
      </c>
      <c r="N529" s="18">
        <v>0.84</v>
      </c>
      <c r="T529" s="4"/>
      <c r="U529" s="4"/>
      <c r="V529" s="4"/>
      <c r="W529" s="4"/>
      <c r="X529" s="4"/>
      <c r="Y529" s="4"/>
      <c r="Z529" s="4"/>
      <c r="AA529" s="4"/>
      <c r="AD529" s="20" t="str">
        <f>IF((B529="")+(B529="Vacante")+(D529=""),"",IFERROR(MATCH(D529,{"Oficinas";"Locales";"Estacionamientos";"Bodegas"},0),5)&amp;"|"&amp;B529&amp;"|"&amp;TEXT(G529,"yyyymmdd")&amp;"|"&amp;TEXT(H529,"yyyymmdd"))</f>
        <v>3|CENTRAL PARKIING SYSTEM CHILE|-|20260228</v>
      </c>
      <c r="AE529" s="4"/>
      <c r="AF529" s="4"/>
    </row>
    <row r="530" spans="1:32" x14ac:dyDescent="0.2">
      <c r="A530" s="5">
        <v>-8</v>
      </c>
      <c r="B530" s="6" t="s">
        <v>147</v>
      </c>
      <c r="C530" s="6" t="s">
        <v>147</v>
      </c>
      <c r="D530" s="6" t="s">
        <v>10</v>
      </c>
      <c r="E530" s="5">
        <v>8074</v>
      </c>
      <c r="G530" s="9" t="s">
        <v>9</v>
      </c>
      <c r="H530" s="9">
        <v>46081</v>
      </c>
      <c r="I530" s="6" t="s">
        <v>2</v>
      </c>
      <c r="L530" s="18">
        <v>1</v>
      </c>
      <c r="M530" s="19">
        <v>0.84</v>
      </c>
      <c r="N530" s="18">
        <v>0.84</v>
      </c>
      <c r="T530" s="4"/>
      <c r="U530" s="4"/>
      <c r="V530" s="4"/>
      <c r="W530" s="4"/>
      <c r="X530" s="4"/>
      <c r="Y530" s="4"/>
      <c r="Z530" s="4"/>
      <c r="AA530" s="4"/>
      <c r="AD530" s="20" t="str">
        <f>IF((B530="")+(B530="Vacante")+(D530=""),"",IFERROR(MATCH(D530,{"Oficinas";"Locales";"Estacionamientos";"Bodegas"},0),5)&amp;"|"&amp;B530&amp;"|"&amp;TEXT(G530,"yyyymmdd")&amp;"|"&amp;TEXT(H530,"yyyymmdd"))</f>
        <v>3|CENTRAL PARKIING SYSTEM CHILE|-|20260228</v>
      </c>
      <c r="AE530" s="4"/>
      <c r="AF530" s="4"/>
    </row>
    <row r="531" spans="1:32" x14ac:dyDescent="0.2">
      <c r="A531" s="5">
        <v>-8</v>
      </c>
      <c r="B531" s="6" t="s">
        <v>147</v>
      </c>
      <c r="C531" s="6" t="s">
        <v>147</v>
      </c>
      <c r="D531" s="6" t="s">
        <v>10</v>
      </c>
      <c r="E531" s="5">
        <v>8075</v>
      </c>
      <c r="G531" s="9" t="s">
        <v>9</v>
      </c>
      <c r="H531" s="9">
        <v>46081</v>
      </c>
      <c r="I531" s="6" t="s">
        <v>2</v>
      </c>
      <c r="L531" s="18">
        <v>1</v>
      </c>
      <c r="M531" s="19">
        <v>0.84</v>
      </c>
      <c r="N531" s="18">
        <v>0.84</v>
      </c>
      <c r="T531" s="4"/>
      <c r="U531" s="4"/>
      <c r="V531" s="4"/>
      <c r="W531" s="4"/>
      <c r="X531" s="4"/>
      <c r="Y531" s="4"/>
      <c r="Z531" s="4"/>
      <c r="AA531" s="4"/>
      <c r="AD531" s="20" t="str">
        <f>IF((B531="")+(B531="Vacante")+(D531=""),"",IFERROR(MATCH(D531,{"Oficinas";"Locales";"Estacionamientos";"Bodegas"},0),5)&amp;"|"&amp;B531&amp;"|"&amp;TEXT(G531,"yyyymmdd")&amp;"|"&amp;TEXT(H531,"yyyymmdd"))</f>
        <v>3|CENTRAL PARKIING SYSTEM CHILE|-|20260228</v>
      </c>
      <c r="AE531" s="4"/>
      <c r="AF531" s="4"/>
    </row>
    <row r="532" spans="1:32" x14ac:dyDescent="0.2">
      <c r="A532" s="5">
        <v>-8</v>
      </c>
      <c r="B532" s="6" t="s">
        <v>147</v>
      </c>
      <c r="C532" s="6" t="s">
        <v>147</v>
      </c>
      <c r="D532" s="6" t="s">
        <v>10</v>
      </c>
      <c r="E532" s="5">
        <v>8076</v>
      </c>
      <c r="G532" s="9" t="s">
        <v>9</v>
      </c>
      <c r="H532" s="9">
        <v>46081</v>
      </c>
      <c r="I532" s="6" t="s">
        <v>2</v>
      </c>
      <c r="L532" s="18">
        <v>1</v>
      </c>
      <c r="M532" s="19">
        <v>0.84</v>
      </c>
      <c r="N532" s="18">
        <v>0.84</v>
      </c>
      <c r="T532" s="4"/>
      <c r="U532" s="4"/>
      <c r="V532" s="4"/>
      <c r="W532" s="4"/>
      <c r="X532" s="4"/>
      <c r="Y532" s="4"/>
      <c r="Z532" s="4"/>
      <c r="AA532" s="4"/>
      <c r="AD532" s="20" t="str">
        <f>IF((B532="")+(B532="Vacante")+(D532=""),"",IFERROR(MATCH(D532,{"Oficinas";"Locales";"Estacionamientos";"Bodegas"},0),5)&amp;"|"&amp;B532&amp;"|"&amp;TEXT(G532,"yyyymmdd")&amp;"|"&amp;TEXT(H532,"yyyymmdd"))</f>
        <v>3|CENTRAL PARKIING SYSTEM CHILE|-|20260228</v>
      </c>
      <c r="AE532" s="4"/>
      <c r="AF532" s="4"/>
    </row>
    <row r="533" spans="1:32" x14ac:dyDescent="0.2">
      <c r="A533" s="5">
        <v>-8</v>
      </c>
      <c r="B533" s="6" t="s">
        <v>147</v>
      </c>
      <c r="C533" s="6" t="s">
        <v>147</v>
      </c>
      <c r="D533" s="6" t="s">
        <v>10</v>
      </c>
      <c r="E533" s="5">
        <v>8077</v>
      </c>
      <c r="G533" s="9" t="s">
        <v>9</v>
      </c>
      <c r="H533" s="9">
        <v>46081</v>
      </c>
      <c r="I533" s="6" t="s">
        <v>2</v>
      </c>
      <c r="L533" s="18">
        <v>1</v>
      </c>
      <c r="M533" s="19">
        <v>0.84</v>
      </c>
      <c r="N533" s="18">
        <v>0.84</v>
      </c>
      <c r="T533" s="4"/>
      <c r="U533" s="4"/>
      <c r="V533" s="4"/>
      <c r="W533" s="4"/>
      <c r="X533" s="4"/>
      <c r="Y533" s="4"/>
      <c r="Z533" s="4"/>
      <c r="AA533" s="4"/>
      <c r="AD533" s="20" t="str">
        <f>IF((B533="")+(B533="Vacante")+(D533=""),"",IFERROR(MATCH(D533,{"Oficinas";"Locales";"Estacionamientos";"Bodegas"},0),5)&amp;"|"&amp;B533&amp;"|"&amp;TEXT(G533,"yyyymmdd")&amp;"|"&amp;TEXT(H533,"yyyymmdd"))</f>
        <v>3|CENTRAL PARKIING SYSTEM CHILE|-|20260228</v>
      </c>
      <c r="AE533" s="4"/>
      <c r="AF533" s="4"/>
    </row>
    <row r="534" spans="1:32" x14ac:dyDescent="0.2">
      <c r="A534" s="5">
        <v>-8</v>
      </c>
      <c r="B534" s="6" t="s">
        <v>147</v>
      </c>
      <c r="C534" s="6" t="s">
        <v>147</v>
      </c>
      <c r="D534" s="6" t="s">
        <v>10</v>
      </c>
      <c r="E534" s="5">
        <v>8078</v>
      </c>
      <c r="G534" s="9" t="s">
        <v>9</v>
      </c>
      <c r="H534" s="9">
        <v>46081</v>
      </c>
      <c r="I534" s="6" t="s">
        <v>2</v>
      </c>
      <c r="L534" s="18">
        <v>1</v>
      </c>
      <c r="M534" s="19">
        <v>0.84</v>
      </c>
      <c r="N534" s="18">
        <v>0.84</v>
      </c>
      <c r="T534" s="4"/>
      <c r="U534" s="4"/>
      <c r="V534" s="4"/>
      <c r="W534" s="4"/>
      <c r="X534" s="4"/>
      <c r="Y534" s="4"/>
      <c r="Z534" s="4"/>
      <c r="AA534" s="4"/>
      <c r="AD534" s="20" t="str">
        <f>IF((B534="")+(B534="Vacante")+(D534=""),"",IFERROR(MATCH(D534,{"Oficinas";"Locales";"Estacionamientos";"Bodegas"},0),5)&amp;"|"&amp;B534&amp;"|"&amp;TEXT(G534,"yyyymmdd")&amp;"|"&amp;TEXT(H534,"yyyymmdd"))</f>
        <v>3|CENTRAL PARKIING SYSTEM CHILE|-|20260228</v>
      </c>
      <c r="AE534" s="4"/>
      <c r="AF534" s="4"/>
    </row>
    <row r="535" spans="1:32" x14ac:dyDescent="0.2">
      <c r="A535" s="5">
        <v>-8</v>
      </c>
      <c r="B535" s="6" t="s">
        <v>147</v>
      </c>
      <c r="C535" s="6" t="s">
        <v>147</v>
      </c>
      <c r="D535" s="6" t="s">
        <v>10</v>
      </c>
      <c r="E535" s="5">
        <v>8079</v>
      </c>
      <c r="G535" s="9" t="s">
        <v>9</v>
      </c>
      <c r="H535" s="9">
        <v>46081</v>
      </c>
      <c r="I535" s="6" t="s">
        <v>2</v>
      </c>
      <c r="L535" s="18">
        <v>1</v>
      </c>
      <c r="M535" s="19">
        <v>0.84</v>
      </c>
      <c r="N535" s="18">
        <v>0.84</v>
      </c>
      <c r="T535" s="4"/>
      <c r="U535" s="4"/>
      <c r="V535" s="4"/>
      <c r="W535" s="4"/>
      <c r="X535" s="4"/>
      <c r="Y535" s="4"/>
      <c r="Z535" s="4"/>
      <c r="AA535" s="4"/>
      <c r="AD535" s="20" t="str">
        <f>IF((B535="")+(B535="Vacante")+(D535=""),"",IFERROR(MATCH(D535,{"Oficinas";"Locales";"Estacionamientos";"Bodegas"},0),5)&amp;"|"&amp;B535&amp;"|"&amp;TEXT(G535,"yyyymmdd")&amp;"|"&amp;TEXT(H535,"yyyymmdd"))</f>
        <v>3|CENTRAL PARKIING SYSTEM CHILE|-|20260228</v>
      </c>
      <c r="AE535" s="4"/>
      <c r="AF535" s="4"/>
    </row>
    <row r="536" spans="1:32" x14ac:dyDescent="0.2">
      <c r="A536" s="5">
        <v>-8</v>
      </c>
      <c r="B536" s="6" t="s">
        <v>147</v>
      </c>
      <c r="C536" s="6" t="s">
        <v>147</v>
      </c>
      <c r="D536" s="6" t="s">
        <v>10</v>
      </c>
      <c r="E536" s="5">
        <v>8080</v>
      </c>
      <c r="G536" s="9" t="s">
        <v>9</v>
      </c>
      <c r="H536" s="9">
        <v>46081</v>
      </c>
      <c r="I536" s="6" t="s">
        <v>2</v>
      </c>
      <c r="L536" s="18">
        <v>1</v>
      </c>
      <c r="M536" s="19">
        <v>0.84</v>
      </c>
      <c r="N536" s="18">
        <v>0.84</v>
      </c>
      <c r="T536" s="4"/>
      <c r="U536" s="4"/>
      <c r="V536" s="4"/>
      <c r="W536" s="4"/>
      <c r="X536" s="4"/>
      <c r="Y536" s="4"/>
      <c r="Z536" s="4"/>
      <c r="AA536" s="4"/>
      <c r="AD536" s="20" t="str">
        <f>IF((B536="")+(B536="Vacante")+(D536=""),"",IFERROR(MATCH(D536,{"Oficinas";"Locales";"Estacionamientos";"Bodegas"},0),5)&amp;"|"&amp;B536&amp;"|"&amp;TEXT(G536,"yyyymmdd")&amp;"|"&amp;TEXT(H536,"yyyymmdd"))</f>
        <v>3|CENTRAL PARKIING SYSTEM CHILE|-|20260228</v>
      </c>
      <c r="AE536" s="4"/>
      <c r="AF536" s="4"/>
    </row>
    <row r="537" spans="1:32" x14ac:dyDescent="0.2">
      <c r="A537" s="5">
        <v>-8</v>
      </c>
      <c r="B537" s="6" t="s">
        <v>147</v>
      </c>
      <c r="C537" s="6" t="s">
        <v>147</v>
      </c>
      <c r="D537" s="6" t="s">
        <v>10</v>
      </c>
      <c r="E537" s="5">
        <v>8081</v>
      </c>
      <c r="G537" s="9" t="s">
        <v>9</v>
      </c>
      <c r="H537" s="9">
        <v>46081</v>
      </c>
      <c r="I537" s="6" t="s">
        <v>2</v>
      </c>
      <c r="L537" s="18">
        <v>1</v>
      </c>
      <c r="M537" s="19">
        <v>0.84</v>
      </c>
      <c r="N537" s="18">
        <v>0.84</v>
      </c>
      <c r="T537" s="4"/>
      <c r="U537" s="4"/>
      <c r="V537" s="4"/>
      <c r="W537" s="4"/>
      <c r="X537" s="4"/>
      <c r="Y537" s="4"/>
      <c r="Z537" s="4"/>
      <c r="AA537" s="4"/>
      <c r="AD537" s="20" t="str">
        <f>IF((B537="")+(B537="Vacante")+(D537=""),"",IFERROR(MATCH(D537,{"Oficinas";"Locales";"Estacionamientos";"Bodegas"},0),5)&amp;"|"&amp;B537&amp;"|"&amp;TEXT(G537,"yyyymmdd")&amp;"|"&amp;TEXT(H537,"yyyymmdd"))</f>
        <v>3|CENTRAL PARKIING SYSTEM CHILE|-|20260228</v>
      </c>
      <c r="AE537" s="4"/>
      <c r="AF537" s="4"/>
    </row>
    <row r="538" spans="1:32" x14ac:dyDescent="0.2">
      <c r="A538" s="5">
        <v>-8</v>
      </c>
      <c r="B538" s="6" t="s">
        <v>147</v>
      </c>
      <c r="C538" s="6" t="s">
        <v>147</v>
      </c>
      <c r="D538" s="6" t="s">
        <v>10</v>
      </c>
      <c r="E538" s="5">
        <v>8082</v>
      </c>
      <c r="G538" s="9" t="s">
        <v>9</v>
      </c>
      <c r="H538" s="9">
        <v>46081</v>
      </c>
      <c r="I538" s="6" t="s">
        <v>2</v>
      </c>
      <c r="L538" s="18">
        <v>1</v>
      </c>
      <c r="M538" s="19">
        <v>0.84</v>
      </c>
      <c r="N538" s="18">
        <v>0.84</v>
      </c>
      <c r="T538" s="4"/>
      <c r="U538" s="4"/>
      <c r="V538" s="4"/>
      <c r="W538" s="4"/>
      <c r="X538" s="4"/>
      <c r="Y538" s="4"/>
      <c r="Z538" s="4"/>
      <c r="AA538" s="4"/>
      <c r="AD538" s="20" t="str">
        <f>IF((B538="")+(B538="Vacante")+(D538=""),"",IFERROR(MATCH(D538,{"Oficinas";"Locales";"Estacionamientos";"Bodegas"},0),5)&amp;"|"&amp;B538&amp;"|"&amp;TEXT(G538,"yyyymmdd")&amp;"|"&amp;TEXT(H538,"yyyymmdd"))</f>
        <v>3|CENTRAL PARKIING SYSTEM CHILE|-|20260228</v>
      </c>
      <c r="AE538" s="4"/>
      <c r="AF538" s="4"/>
    </row>
    <row r="539" spans="1:32" x14ac:dyDescent="0.2">
      <c r="A539" s="5">
        <v>-8</v>
      </c>
      <c r="B539" s="6" t="s">
        <v>147</v>
      </c>
      <c r="C539" s="6" t="s">
        <v>147</v>
      </c>
      <c r="D539" s="6" t="s">
        <v>10</v>
      </c>
      <c r="E539" s="5">
        <v>8083</v>
      </c>
      <c r="G539" s="9" t="s">
        <v>9</v>
      </c>
      <c r="H539" s="9">
        <v>46081</v>
      </c>
      <c r="I539" s="6" t="s">
        <v>2</v>
      </c>
      <c r="L539" s="18">
        <v>1</v>
      </c>
      <c r="M539" s="19">
        <v>0.84</v>
      </c>
      <c r="N539" s="18">
        <v>0.84</v>
      </c>
      <c r="T539" s="4"/>
      <c r="U539" s="4"/>
      <c r="V539" s="4"/>
      <c r="W539" s="4"/>
      <c r="X539" s="4"/>
      <c r="Y539" s="4"/>
      <c r="Z539" s="4"/>
      <c r="AA539" s="4"/>
      <c r="AD539" s="20" t="str">
        <f>IF((B539="")+(B539="Vacante")+(D539=""),"",IFERROR(MATCH(D539,{"Oficinas";"Locales";"Estacionamientos";"Bodegas"},0),5)&amp;"|"&amp;B539&amp;"|"&amp;TEXT(G539,"yyyymmdd")&amp;"|"&amp;TEXT(H539,"yyyymmdd"))</f>
        <v>3|CENTRAL PARKIING SYSTEM CHILE|-|20260228</v>
      </c>
      <c r="AE539" s="4"/>
      <c r="AF539" s="4"/>
    </row>
    <row r="540" spans="1:32" x14ac:dyDescent="0.2">
      <c r="A540" s="5">
        <v>-8</v>
      </c>
      <c r="B540" s="6" t="s">
        <v>147</v>
      </c>
      <c r="C540" s="6" t="s">
        <v>147</v>
      </c>
      <c r="D540" s="6" t="s">
        <v>10</v>
      </c>
      <c r="E540" s="5">
        <v>8084</v>
      </c>
      <c r="G540" s="9" t="s">
        <v>9</v>
      </c>
      <c r="H540" s="9">
        <v>46081</v>
      </c>
      <c r="I540" s="6" t="s">
        <v>2</v>
      </c>
      <c r="L540" s="18">
        <v>1</v>
      </c>
      <c r="M540" s="19">
        <v>0.84</v>
      </c>
      <c r="N540" s="18">
        <v>0.84</v>
      </c>
      <c r="T540" s="4"/>
      <c r="U540" s="4"/>
      <c r="V540" s="4"/>
      <c r="W540" s="4"/>
      <c r="X540" s="4"/>
      <c r="Y540" s="4"/>
      <c r="Z540" s="4"/>
      <c r="AA540" s="4"/>
      <c r="AD540" s="20" t="str">
        <f>IF((B540="")+(B540="Vacante")+(D540=""),"",IFERROR(MATCH(D540,{"Oficinas";"Locales";"Estacionamientos";"Bodegas"},0),5)&amp;"|"&amp;B540&amp;"|"&amp;TEXT(G540,"yyyymmdd")&amp;"|"&amp;TEXT(H540,"yyyymmdd"))</f>
        <v>3|CENTRAL PARKIING SYSTEM CHILE|-|20260228</v>
      </c>
      <c r="AE540" s="4"/>
      <c r="AF540" s="4"/>
    </row>
    <row r="541" spans="1:32" x14ac:dyDescent="0.2">
      <c r="A541" s="5">
        <v>-8</v>
      </c>
      <c r="B541" s="6" t="s">
        <v>147</v>
      </c>
      <c r="C541" s="6" t="s">
        <v>147</v>
      </c>
      <c r="D541" s="6" t="s">
        <v>10</v>
      </c>
      <c r="E541" s="5">
        <v>8085</v>
      </c>
      <c r="G541" s="9" t="s">
        <v>9</v>
      </c>
      <c r="H541" s="9">
        <v>46081</v>
      </c>
      <c r="I541" s="6" t="s">
        <v>2</v>
      </c>
      <c r="L541" s="18">
        <v>1</v>
      </c>
      <c r="M541" s="19">
        <v>0.84</v>
      </c>
      <c r="N541" s="18">
        <v>0.84</v>
      </c>
      <c r="T541" s="4"/>
      <c r="U541" s="4"/>
      <c r="V541" s="4"/>
      <c r="W541" s="4"/>
      <c r="X541" s="4"/>
      <c r="Y541" s="4"/>
      <c r="Z541" s="4"/>
      <c r="AA541" s="4"/>
      <c r="AD541" s="20" t="str">
        <f>IF((B541="")+(B541="Vacante")+(D541=""),"",IFERROR(MATCH(D541,{"Oficinas";"Locales";"Estacionamientos";"Bodegas"},0),5)&amp;"|"&amp;B541&amp;"|"&amp;TEXT(G541,"yyyymmdd")&amp;"|"&amp;TEXT(H541,"yyyymmdd"))</f>
        <v>3|CENTRAL PARKIING SYSTEM CHILE|-|20260228</v>
      </c>
      <c r="AE541" s="4"/>
      <c r="AF541" s="4"/>
    </row>
    <row r="542" spans="1:32" x14ac:dyDescent="0.2">
      <c r="A542" s="5">
        <v>-8</v>
      </c>
      <c r="B542" s="6" t="s">
        <v>147</v>
      </c>
      <c r="C542" s="6" t="s">
        <v>147</v>
      </c>
      <c r="D542" s="6" t="s">
        <v>10</v>
      </c>
      <c r="E542" s="5">
        <v>8086</v>
      </c>
      <c r="G542" s="9" t="s">
        <v>9</v>
      </c>
      <c r="H542" s="9">
        <v>46081</v>
      </c>
      <c r="I542" s="6" t="s">
        <v>2</v>
      </c>
      <c r="L542" s="18">
        <v>1</v>
      </c>
      <c r="M542" s="19">
        <v>0.84</v>
      </c>
      <c r="N542" s="18">
        <v>0.84</v>
      </c>
      <c r="T542" s="4"/>
      <c r="U542" s="4"/>
      <c r="V542" s="4"/>
      <c r="W542" s="4"/>
      <c r="X542" s="4"/>
      <c r="Y542" s="4"/>
      <c r="Z542" s="4"/>
      <c r="AA542" s="4"/>
      <c r="AD542" s="20" t="str">
        <f>IF((B542="")+(B542="Vacante")+(D542=""),"",IFERROR(MATCH(D542,{"Oficinas";"Locales";"Estacionamientos";"Bodegas"},0),5)&amp;"|"&amp;B542&amp;"|"&amp;TEXT(G542,"yyyymmdd")&amp;"|"&amp;TEXT(H542,"yyyymmdd"))</f>
        <v>3|CENTRAL PARKIING SYSTEM CHILE|-|20260228</v>
      </c>
      <c r="AE542" s="4"/>
      <c r="AF542" s="4"/>
    </row>
    <row r="543" spans="1:32" x14ac:dyDescent="0.2">
      <c r="A543" s="5">
        <v>-8</v>
      </c>
      <c r="B543" s="6" t="s">
        <v>147</v>
      </c>
      <c r="C543" s="6" t="s">
        <v>147</v>
      </c>
      <c r="D543" s="6" t="s">
        <v>10</v>
      </c>
      <c r="E543" s="5">
        <v>8087</v>
      </c>
      <c r="G543" s="9" t="s">
        <v>9</v>
      </c>
      <c r="H543" s="9">
        <v>46081</v>
      </c>
      <c r="I543" s="6" t="s">
        <v>2</v>
      </c>
      <c r="L543" s="18">
        <v>1</v>
      </c>
      <c r="M543" s="19">
        <v>0.84</v>
      </c>
      <c r="N543" s="18">
        <v>0.84</v>
      </c>
      <c r="T543" s="4"/>
      <c r="U543" s="4"/>
      <c r="V543" s="4"/>
      <c r="W543" s="4"/>
      <c r="X543" s="4"/>
      <c r="Y543" s="4"/>
      <c r="Z543" s="4"/>
      <c r="AA543" s="4"/>
      <c r="AD543" s="20" t="str">
        <f>IF((B543="")+(B543="Vacante")+(D543=""),"",IFERROR(MATCH(D543,{"Oficinas";"Locales";"Estacionamientos";"Bodegas"},0),5)&amp;"|"&amp;B543&amp;"|"&amp;TEXT(G543,"yyyymmdd")&amp;"|"&amp;TEXT(H543,"yyyymmdd"))</f>
        <v>3|CENTRAL PARKIING SYSTEM CHILE|-|20260228</v>
      </c>
      <c r="AE543" s="4"/>
      <c r="AF543" s="4"/>
    </row>
    <row r="544" spans="1:32" x14ac:dyDescent="0.2">
      <c r="A544" s="5">
        <v>-8</v>
      </c>
      <c r="B544" s="6" t="s">
        <v>147</v>
      </c>
      <c r="C544" s="6" t="s">
        <v>147</v>
      </c>
      <c r="D544" s="6" t="s">
        <v>10</v>
      </c>
      <c r="E544" s="5">
        <v>8088</v>
      </c>
      <c r="G544" s="9" t="s">
        <v>9</v>
      </c>
      <c r="H544" s="9">
        <v>46081</v>
      </c>
      <c r="I544" s="6" t="s">
        <v>2</v>
      </c>
      <c r="L544" s="18">
        <v>1</v>
      </c>
      <c r="M544" s="19">
        <v>0.84</v>
      </c>
      <c r="N544" s="18">
        <v>0.84</v>
      </c>
      <c r="T544" s="4"/>
      <c r="U544" s="4"/>
      <c r="V544" s="4"/>
      <c r="W544" s="4"/>
      <c r="X544" s="4"/>
      <c r="Y544" s="4"/>
      <c r="Z544" s="4"/>
      <c r="AA544" s="4"/>
      <c r="AD544" s="20" t="str">
        <f>IF((B544="")+(B544="Vacante")+(D544=""),"",IFERROR(MATCH(D544,{"Oficinas";"Locales";"Estacionamientos";"Bodegas"},0),5)&amp;"|"&amp;B544&amp;"|"&amp;TEXT(G544,"yyyymmdd")&amp;"|"&amp;TEXT(H544,"yyyymmdd"))</f>
        <v>3|CENTRAL PARKIING SYSTEM CHILE|-|20260228</v>
      </c>
      <c r="AE544" s="4"/>
      <c r="AF544" s="4"/>
    </row>
    <row r="545" spans="1:32" x14ac:dyDescent="0.2">
      <c r="A545" s="5">
        <v>-8</v>
      </c>
      <c r="B545" s="6" t="s">
        <v>147</v>
      </c>
      <c r="C545" s="6" t="s">
        <v>147</v>
      </c>
      <c r="D545" s="6" t="s">
        <v>10</v>
      </c>
      <c r="E545" s="5">
        <v>8089</v>
      </c>
      <c r="G545" s="9" t="s">
        <v>9</v>
      </c>
      <c r="H545" s="9">
        <v>46081</v>
      </c>
      <c r="I545" s="6" t="s">
        <v>2</v>
      </c>
      <c r="L545" s="18">
        <v>1</v>
      </c>
      <c r="M545" s="19">
        <v>0.84</v>
      </c>
      <c r="N545" s="18">
        <v>0.84</v>
      </c>
      <c r="T545" s="4"/>
      <c r="U545" s="4"/>
      <c r="V545" s="4"/>
      <c r="W545" s="4"/>
      <c r="X545" s="4"/>
      <c r="Y545" s="4"/>
      <c r="Z545" s="4"/>
      <c r="AA545" s="4"/>
      <c r="AD545" s="20" t="str">
        <f>IF((B545="")+(B545="Vacante")+(D545=""),"",IFERROR(MATCH(D545,{"Oficinas";"Locales";"Estacionamientos";"Bodegas"},0),5)&amp;"|"&amp;B545&amp;"|"&amp;TEXT(G545,"yyyymmdd")&amp;"|"&amp;TEXT(H545,"yyyymmdd"))</f>
        <v>3|CENTRAL PARKIING SYSTEM CHILE|-|20260228</v>
      </c>
      <c r="AE545" s="4"/>
      <c r="AF545" s="4"/>
    </row>
    <row r="546" spans="1:32" x14ac:dyDescent="0.2">
      <c r="A546" s="5">
        <v>-8</v>
      </c>
      <c r="B546" s="6" t="s">
        <v>147</v>
      </c>
      <c r="C546" s="6" t="s">
        <v>147</v>
      </c>
      <c r="D546" s="6" t="s">
        <v>10</v>
      </c>
      <c r="E546" s="5">
        <v>8090</v>
      </c>
      <c r="G546" s="9" t="s">
        <v>9</v>
      </c>
      <c r="H546" s="9">
        <v>46081</v>
      </c>
      <c r="I546" s="6" t="s">
        <v>2</v>
      </c>
      <c r="L546" s="18">
        <v>1</v>
      </c>
      <c r="M546" s="19">
        <v>0.84</v>
      </c>
      <c r="N546" s="18">
        <v>0.84</v>
      </c>
      <c r="T546" s="4"/>
      <c r="U546" s="4"/>
      <c r="V546" s="4"/>
      <c r="W546" s="4"/>
      <c r="X546" s="4"/>
      <c r="Y546" s="4"/>
      <c r="Z546" s="4"/>
      <c r="AA546" s="4"/>
      <c r="AD546" s="20" t="str">
        <f>IF((B546="")+(B546="Vacante")+(D546=""),"",IFERROR(MATCH(D546,{"Oficinas";"Locales";"Estacionamientos";"Bodegas"},0),5)&amp;"|"&amp;B546&amp;"|"&amp;TEXT(G546,"yyyymmdd")&amp;"|"&amp;TEXT(H546,"yyyymmdd"))</f>
        <v>3|CENTRAL PARKIING SYSTEM CHILE|-|20260228</v>
      </c>
      <c r="AE546" s="4"/>
      <c r="AF546" s="4"/>
    </row>
    <row r="547" spans="1:32" x14ac:dyDescent="0.2">
      <c r="A547" s="5">
        <v>-8</v>
      </c>
      <c r="B547" s="6" t="s">
        <v>147</v>
      </c>
      <c r="C547" s="6" t="s">
        <v>147</v>
      </c>
      <c r="D547" s="6" t="s">
        <v>10</v>
      </c>
      <c r="E547" s="5">
        <v>8091</v>
      </c>
      <c r="G547" s="9" t="s">
        <v>9</v>
      </c>
      <c r="H547" s="9">
        <v>46081</v>
      </c>
      <c r="I547" s="6" t="s">
        <v>2</v>
      </c>
      <c r="L547" s="18">
        <v>1</v>
      </c>
      <c r="M547" s="19">
        <v>0.84</v>
      </c>
      <c r="N547" s="18">
        <v>0.84</v>
      </c>
      <c r="T547" s="4"/>
      <c r="U547" s="4"/>
      <c r="V547" s="4"/>
      <c r="W547" s="4"/>
      <c r="X547" s="4"/>
      <c r="Y547" s="4"/>
      <c r="Z547" s="4"/>
      <c r="AA547" s="4"/>
      <c r="AD547" s="20" t="str">
        <f>IF((B547="")+(B547="Vacante")+(D547=""),"",IFERROR(MATCH(D547,{"Oficinas";"Locales";"Estacionamientos";"Bodegas"},0),5)&amp;"|"&amp;B547&amp;"|"&amp;TEXT(G547,"yyyymmdd")&amp;"|"&amp;TEXT(H547,"yyyymmdd"))</f>
        <v>3|CENTRAL PARKIING SYSTEM CHILE|-|20260228</v>
      </c>
      <c r="AE547" s="4"/>
      <c r="AF547" s="4"/>
    </row>
    <row r="548" spans="1:32" x14ac:dyDescent="0.2">
      <c r="A548" s="5">
        <v>-8</v>
      </c>
      <c r="B548" s="6" t="s">
        <v>147</v>
      </c>
      <c r="C548" s="6" t="s">
        <v>147</v>
      </c>
      <c r="D548" s="6" t="s">
        <v>10</v>
      </c>
      <c r="E548" s="5">
        <v>8092</v>
      </c>
      <c r="G548" s="9" t="s">
        <v>9</v>
      </c>
      <c r="H548" s="9">
        <v>46081</v>
      </c>
      <c r="I548" s="6" t="s">
        <v>2</v>
      </c>
      <c r="L548" s="18">
        <v>1</v>
      </c>
      <c r="M548" s="19">
        <v>0.84</v>
      </c>
      <c r="N548" s="18">
        <v>0.84</v>
      </c>
      <c r="T548" s="4"/>
      <c r="U548" s="4"/>
      <c r="V548" s="4"/>
      <c r="W548" s="4"/>
      <c r="X548" s="4"/>
      <c r="Y548" s="4"/>
      <c r="Z548" s="4"/>
      <c r="AA548" s="4"/>
      <c r="AD548" s="20" t="str">
        <f>IF((B548="")+(B548="Vacante")+(D548=""),"",IFERROR(MATCH(D548,{"Oficinas";"Locales";"Estacionamientos";"Bodegas"},0),5)&amp;"|"&amp;B548&amp;"|"&amp;TEXT(G548,"yyyymmdd")&amp;"|"&amp;TEXT(H548,"yyyymmdd"))</f>
        <v>3|CENTRAL PARKIING SYSTEM CHILE|-|20260228</v>
      </c>
      <c r="AE548" s="4"/>
      <c r="AF548" s="4"/>
    </row>
    <row r="549" spans="1:32" x14ac:dyDescent="0.2">
      <c r="A549" s="5">
        <v>-8</v>
      </c>
      <c r="B549" s="6" t="s">
        <v>147</v>
      </c>
      <c r="C549" s="6" t="s">
        <v>147</v>
      </c>
      <c r="D549" s="6" t="s">
        <v>10</v>
      </c>
      <c r="E549" s="5">
        <v>8093</v>
      </c>
      <c r="G549" s="9" t="s">
        <v>9</v>
      </c>
      <c r="H549" s="9">
        <v>46081</v>
      </c>
      <c r="I549" s="6" t="s">
        <v>2</v>
      </c>
      <c r="L549" s="18">
        <v>1</v>
      </c>
      <c r="M549" s="19">
        <v>0.84</v>
      </c>
      <c r="N549" s="18">
        <v>0.84</v>
      </c>
      <c r="T549" s="4"/>
      <c r="U549" s="4"/>
      <c r="V549" s="4"/>
      <c r="W549" s="4"/>
      <c r="X549" s="4"/>
      <c r="Y549" s="4"/>
      <c r="Z549" s="4"/>
      <c r="AA549" s="4"/>
      <c r="AD549" s="20" t="str">
        <f>IF((B549="")+(B549="Vacante")+(D549=""),"",IFERROR(MATCH(D549,{"Oficinas";"Locales";"Estacionamientos";"Bodegas"},0),5)&amp;"|"&amp;B549&amp;"|"&amp;TEXT(G549,"yyyymmdd")&amp;"|"&amp;TEXT(H549,"yyyymmdd"))</f>
        <v>3|CENTRAL PARKIING SYSTEM CHILE|-|20260228</v>
      </c>
      <c r="AE549" s="4"/>
      <c r="AF549" s="4"/>
    </row>
    <row r="550" spans="1:32" x14ac:dyDescent="0.2">
      <c r="A550" s="5">
        <v>-8</v>
      </c>
      <c r="B550" s="6" t="s">
        <v>147</v>
      </c>
      <c r="C550" s="6" t="s">
        <v>147</v>
      </c>
      <c r="D550" s="6" t="s">
        <v>10</v>
      </c>
      <c r="E550" s="5">
        <v>8094</v>
      </c>
      <c r="G550" s="9" t="s">
        <v>9</v>
      </c>
      <c r="H550" s="9">
        <v>46081</v>
      </c>
      <c r="I550" s="6" t="s">
        <v>2</v>
      </c>
      <c r="L550" s="18">
        <v>1</v>
      </c>
      <c r="M550" s="19">
        <v>0.84</v>
      </c>
      <c r="N550" s="18">
        <v>0.84</v>
      </c>
      <c r="T550" s="4"/>
      <c r="U550" s="4"/>
      <c r="V550" s="4"/>
      <c r="W550" s="4"/>
      <c r="X550" s="4"/>
      <c r="Y550" s="4"/>
      <c r="Z550" s="4"/>
      <c r="AA550" s="4"/>
      <c r="AD550" s="20" t="str">
        <f>IF((B550="")+(B550="Vacante")+(D550=""),"",IFERROR(MATCH(D550,{"Oficinas";"Locales";"Estacionamientos";"Bodegas"},0),5)&amp;"|"&amp;B550&amp;"|"&amp;TEXT(G550,"yyyymmdd")&amp;"|"&amp;TEXT(H550,"yyyymmdd"))</f>
        <v>3|CENTRAL PARKIING SYSTEM CHILE|-|20260228</v>
      </c>
      <c r="AE550" s="4"/>
      <c r="AF550" s="4"/>
    </row>
    <row r="551" spans="1:32" x14ac:dyDescent="0.2">
      <c r="A551" s="5">
        <v>-8</v>
      </c>
      <c r="B551" s="6" t="s">
        <v>147</v>
      </c>
      <c r="C551" s="6" t="s">
        <v>147</v>
      </c>
      <c r="D551" s="6" t="s">
        <v>10</v>
      </c>
      <c r="E551" s="5">
        <v>8095</v>
      </c>
      <c r="G551" s="9" t="s">
        <v>9</v>
      </c>
      <c r="H551" s="9">
        <v>46081</v>
      </c>
      <c r="I551" s="6" t="s">
        <v>2</v>
      </c>
      <c r="L551" s="18">
        <v>1</v>
      </c>
      <c r="M551" s="19">
        <v>0.84</v>
      </c>
      <c r="N551" s="18">
        <v>0.84</v>
      </c>
      <c r="T551" s="4"/>
      <c r="U551" s="4"/>
      <c r="V551" s="4"/>
      <c r="W551" s="4"/>
      <c r="X551" s="4"/>
      <c r="Y551" s="4"/>
      <c r="Z551" s="4"/>
      <c r="AA551" s="4"/>
      <c r="AD551" s="20" t="str">
        <f>IF((B551="")+(B551="Vacante")+(D551=""),"",IFERROR(MATCH(D551,{"Oficinas";"Locales";"Estacionamientos";"Bodegas"},0),5)&amp;"|"&amp;B551&amp;"|"&amp;TEXT(G551,"yyyymmdd")&amp;"|"&amp;TEXT(H551,"yyyymmdd"))</f>
        <v>3|CENTRAL PARKIING SYSTEM CHILE|-|20260228</v>
      </c>
      <c r="AE551" s="4"/>
      <c r="AF551" s="4"/>
    </row>
    <row r="552" spans="1:32" x14ac:dyDescent="0.2">
      <c r="A552" s="5">
        <v>-8</v>
      </c>
      <c r="B552" s="6" t="s">
        <v>147</v>
      </c>
      <c r="C552" s="6" t="s">
        <v>147</v>
      </c>
      <c r="D552" s="6" t="s">
        <v>10</v>
      </c>
      <c r="E552" s="5">
        <v>8096</v>
      </c>
      <c r="G552" s="9" t="s">
        <v>9</v>
      </c>
      <c r="H552" s="9">
        <v>46081</v>
      </c>
      <c r="I552" s="6" t="s">
        <v>2</v>
      </c>
      <c r="L552" s="18">
        <v>1</v>
      </c>
      <c r="M552" s="19">
        <v>0.84</v>
      </c>
      <c r="N552" s="18">
        <v>0.84</v>
      </c>
      <c r="T552" s="4"/>
      <c r="U552" s="4"/>
      <c r="V552" s="4"/>
      <c r="W552" s="4"/>
      <c r="X552" s="4"/>
      <c r="Y552" s="4"/>
      <c r="Z552" s="4"/>
      <c r="AA552" s="4"/>
      <c r="AD552" s="20" t="str">
        <f>IF((B552="")+(B552="Vacante")+(D552=""),"",IFERROR(MATCH(D552,{"Oficinas";"Locales";"Estacionamientos";"Bodegas"},0),5)&amp;"|"&amp;B552&amp;"|"&amp;TEXT(G552,"yyyymmdd")&amp;"|"&amp;TEXT(H552,"yyyymmdd"))</f>
        <v>3|CENTRAL PARKIING SYSTEM CHILE|-|20260228</v>
      </c>
      <c r="AE552" s="4"/>
      <c r="AF552" s="4"/>
    </row>
    <row r="553" spans="1:32" x14ac:dyDescent="0.2">
      <c r="A553" s="5">
        <v>-8</v>
      </c>
      <c r="B553" s="6" t="s">
        <v>147</v>
      </c>
      <c r="C553" s="6" t="s">
        <v>147</v>
      </c>
      <c r="D553" s="6" t="s">
        <v>10</v>
      </c>
      <c r="E553" s="5">
        <v>8097</v>
      </c>
      <c r="G553" s="9" t="s">
        <v>9</v>
      </c>
      <c r="H553" s="9">
        <v>46081</v>
      </c>
      <c r="I553" s="6" t="s">
        <v>2</v>
      </c>
      <c r="L553" s="18">
        <v>1</v>
      </c>
      <c r="M553" s="19">
        <v>0.84</v>
      </c>
      <c r="N553" s="18">
        <v>0.84</v>
      </c>
      <c r="T553" s="4"/>
      <c r="U553" s="4"/>
      <c r="V553" s="4"/>
      <c r="W553" s="4"/>
      <c r="X553" s="4"/>
      <c r="Y553" s="4"/>
      <c r="Z553" s="4"/>
      <c r="AA553" s="4"/>
      <c r="AD553" s="20" t="str">
        <f>IF((B553="")+(B553="Vacante")+(D553=""),"",IFERROR(MATCH(D553,{"Oficinas";"Locales";"Estacionamientos";"Bodegas"},0),5)&amp;"|"&amp;B553&amp;"|"&amp;TEXT(G553,"yyyymmdd")&amp;"|"&amp;TEXT(H553,"yyyymmdd"))</f>
        <v>3|CENTRAL PARKIING SYSTEM CHILE|-|20260228</v>
      </c>
      <c r="AE553" s="4"/>
      <c r="AF553" s="4"/>
    </row>
    <row r="554" spans="1:32" x14ac:dyDescent="0.2">
      <c r="A554" s="5">
        <v>-8</v>
      </c>
      <c r="B554" s="6" t="s">
        <v>147</v>
      </c>
      <c r="C554" s="6" t="s">
        <v>147</v>
      </c>
      <c r="D554" s="6" t="s">
        <v>10</v>
      </c>
      <c r="E554" s="5">
        <v>8098</v>
      </c>
      <c r="G554" s="9" t="s">
        <v>9</v>
      </c>
      <c r="H554" s="9">
        <v>46081</v>
      </c>
      <c r="I554" s="6" t="s">
        <v>2</v>
      </c>
      <c r="L554" s="18">
        <v>1</v>
      </c>
      <c r="M554" s="19">
        <v>0.84</v>
      </c>
      <c r="N554" s="18">
        <v>0.84</v>
      </c>
      <c r="T554" s="4"/>
      <c r="U554" s="4"/>
      <c r="V554" s="4"/>
      <c r="W554" s="4"/>
      <c r="X554" s="4"/>
      <c r="Y554" s="4"/>
      <c r="Z554" s="4"/>
      <c r="AA554" s="4"/>
      <c r="AD554" s="20" t="str">
        <f>IF((B554="")+(B554="Vacante")+(D554=""),"",IFERROR(MATCH(D554,{"Oficinas";"Locales";"Estacionamientos";"Bodegas"},0),5)&amp;"|"&amp;B554&amp;"|"&amp;TEXT(G554,"yyyymmdd")&amp;"|"&amp;TEXT(H554,"yyyymmdd"))</f>
        <v>3|CENTRAL PARKIING SYSTEM CHILE|-|20260228</v>
      </c>
      <c r="AE554" s="4"/>
      <c r="AF554" s="4"/>
    </row>
    <row r="555" spans="1:32" x14ac:dyDescent="0.2">
      <c r="A555" s="5">
        <v>-8</v>
      </c>
      <c r="B555" s="6" t="s">
        <v>147</v>
      </c>
      <c r="C555" s="6" t="s">
        <v>147</v>
      </c>
      <c r="D555" s="6" t="s">
        <v>10</v>
      </c>
      <c r="E555" s="5">
        <v>8099</v>
      </c>
      <c r="G555" s="9" t="s">
        <v>9</v>
      </c>
      <c r="H555" s="9">
        <v>46081</v>
      </c>
      <c r="I555" s="6" t="s">
        <v>2</v>
      </c>
      <c r="L555" s="18">
        <v>1</v>
      </c>
      <c r="M555" s="19">
        <v>0.84</v>
      </c>
      <c r="N555" s="18">
        <v>0.84</v>
      </c>
      <c r="T555" s="4"/>
      <c r="U555" s="4"/>
      <c r="V555" s="4"/>
      <c r="W555" s="4"/>
      <c r="X555" s="4"/>
      <c r="Y555" s="4"/>
      <c r="Z555" s="4"/>
      <c r="AA555" s="4"/>
      <c r="AD555" s="20" t="str">
        <f>IF((B555="")+(B555="Vacante")+(D555=""),"",IFERROR(MATCH(D555,{"Oficinas";"Locales";"Estacionamientos";"Bodegas"},0),5)&amp;"|"&amp;B555&amp;"|"&amp;TEXT(G555,"yyyymmdd")&amp;"|"&amp;TEXT(H555,"yyyymmdd"))</f>
        <v>3|CENTRAL PARKIING SYSTEM CHILE|-|20260228</v>
      </c>
      <c r="AE555" s="4"/>
      <c r="AF555" s="4"/>
    </row>
    <row r="556" spans="1:32" x14ac:dyDescent="0.2">
      <c r="A556" s="5">
        <v>-8</v>
      </c>
      <c r="B556" s="6" t="s">
        <v>147</v>
      </c>
      <c r="C556" s="6" t="s">
        <v>147</v>
      </c>
      <c r="D556" s="6" t="s">
        <v>10</v>
      </c>
      <c r="E556" s="5">
        <v>8100</v>
      </c>
      <c r="G556" s="9" t="s">
        <v>9</v>
      </c>
      <c r="H556" s="9">
        <v>46081</v>
      </c>
      <c r="I556" s="6" t="s">
        <v>2</v>
      </c>
      <c r="L556" s="18">
        <v>1</v>
      </c>
      <c r="M556" s="19">
        <v>0.84</v>
      </c>
      <c r="N556" s="18">
        <v>0.84</v>
      </c>
      <c r="T556" s="4"/>
      <c r="U556" s="4"/>
      <c r="V556" s="4"/>
      <c r="W556" s="4"/>
      <c r="X556" s="4"/>
      <c r="Y556" s="4"/>
      <c r="Z556" s="4"/>
      <c r="AA556" s="4"/>
      <c r="AD556" s="20" t="str">
        <f>IF((B556="")+(B556="Vacante")+(D556=""),"",IFERROR(MATCH(D556,{"Oficinas";"Locales";"Estacionamientos";"Bodegas"},0),5)&amp;"|"&amp;B556&amp;"|"&amp;TEXT(G556,"yyyymmdd")&amp;"|"&amp;TEXT(H556,"yyyymmdd"))</f>
        <v>3|CENTRAL PARKIING SYSTEM CHILE|-|20260228</v>
      </c>
      <c r="AE556" s="4"/>
      <c r="AF556" s="4"/>
    </row>
    <row r="557" spans="1:32" x14ac:dyDescent="0.2">
      <c r="A557" s="5">
        <v>-8</v>
      </c>
      <c r="B557" s="6" t="s">
        <v>147</v>
      </c>
      <c r="C557" s="6" t="s">
        <v>147</v>
      </c>
      <c r="D557" s="6" t="s">
        <v>10</v>
      </c>
      <c r="E557" s="5">
        <v>8101</v>
      </c>
      <c r="G557" s="9" t="s">
        <v>9</v>
      </c>
      <c r="H557" s="9">
        <v>46081</v>
      </c>
      <c r="I557" s="6" t="s">
        <v>2</v>
      </c>
      <c r="L557" s="18">
        <v>1</v>
      </c>
      <c r="M557" s="19">
        <v>0.84</v>
      </c>
      <c r="N557" s="18">
        <v>0.84</v>
      </c>
      <c r="T557" s="4"/>
      <c r="U557" s="4"/>
      <c r="V557" s="4"/>
      <c r="W557" s="4"/>
      <c r="X557" s="4"/>
      <c r="Y557" s="4"/>
      <c r="Z557" s="4"/>
      <c r="AA557" s="4"/>
      <c r="AD557" s="20" t="str">
        <f>IF((B557="")+(B557="Vacante")+(D557=""),"",IFERROR(MATCH(D557,{"Oficinas";"Locales";"Estacionamientos";"Bodegas"},0),5)&amp;"|"&amp;B557&amp;"|"&amp;TEXT(G557,"yyyymmdd")&amp;"|"&amp;TEXT(H557,"yyyymmdd"))</f>
        <v>3|CENTRAL PARKIING SYSTEM CHILE|-|20260228</v>
      </c>
      <c r="AE557" s="4"/>
      <c r="AF557" s="4"/>
    </row>
    <row r="558" spans="1:32" x14ac:dyDescent="0.2">
      <c r="A558" s="5">
        <v>-8</v>
      </c>
      <c r="B558" s="6" t="s">
        <v>147</v>
      </c>
      <c r="C558" s="6" t="s">
        <v>147</v>
      </c>
      <c r="D558" s="6" t="s">
        <v>10</v>
      </c>
      <c r="E558" s="5">
        <v>8102</v>
      </c>
      <c r="G558" s="9" t="s">
        <v>9</v>
      </c>
      <c r="H558" s="9">
        <v>46081</v>
      </c>
      <c r="I558" s="6" t="s">
        <v>2</v>
      </c>
      <c r="L558" s="18">
        <v>1</v>
      </c>
      <c r="M558" s="19">
        <v>0.84</v>
      </c>
      <c r="N558" s="18">
        <v>0.84</v>
      </c>
      <c r="T558" s="4"/>
      <c r="U558" s="4"/>
      <c r="V558" s="4"/>
      <c r="W558" s="4"/>
      <c r="X558" s="4"/>
      <c r="Y558" s="4"/>
      <c r="Z558" s="4"/>
      <c r="AA558" s="4"/>
      <c r="AD558" s="20" t="str">
        <f>IF((B558="")+(B558="Vacante")+(D558=""),"",IFERROR(MATCH(D558,{"Oficinas";"Locales";"Estacionamientos";"Bodegas"},0),5)&amp;"|"&amp;B558&amp;"|"&amp;TEXT(G558,"yyyymmdd")&amp;"|"&amp;TEXT(H558,"yyyymmdd"))</f>
        <v>3|CENTRAL PARKIING SYSTEM CHILE|-|20260228</v>
      </c>
      <c r="AE558" s="4"/>
      <c r="AF558" s="4"/>
    </row>
    <row r="559" spans="1:32" x14ac:dyDescent="0.2">
      <c r="A559" s="5">
        <v>-8</v>
      </c>
      <c r="B559" s="6" t="s">
        <v>147</v>
      </c>
      <c r="C559" s="6" t="s">
        <v>147</v>
      </c>
      <c r="D559" s="6" t="s">
        <v>10</v>
      </c>
      <c r="E559" s="5">
        <v>8103</v>
      </c>
      <c r="G559" s="9" t="s">
        <v>9</v>
      </c>
      <c r="H559" s="9">
        <v>46081</v>
      </c>
      <c r="I559" s="6" t="s">
        <v>2</v>
      </c>
      <c r="L559" s="18">
        <v>1</v>
      </c>
      <c r="M559" s="19">
        <v>0.84</v>
      </c>
      <c r="N559" s="18">
        <v>0.84</v>
      </c>
      <c r="T559" s="4"/>
      <c r="U559" s="4"/>
      <c r="V559" s="4"/>
      <c r="W559" s="4"/>
      <c r="X559" s="4"/>
      <c r="Y559" s="4"/>
      <c r="Z559" s="4"/>
      <c r="AA559" s="4"/>
      <c r="AD559" s="20" t="str">
        <f>IF((B559="")+(B559="Vacante")+(D559=""),"",IFERROR(MATCH(D559,{"Oficinas";"Locales";"Estacionamientos";"Bodegas"},0),5)&amp;"|"&amp;B559&amp;"|"&amp;TEXT(G559,"yyyymmdd")&amp;"|"&amp;TEXT(H559,"yyyymmdd"))</f>
        <v>3|CENTRAL PARKIING SYSTEM CHILE|-|20260228</v>
      </c>
      <c r="AE559" s="4"/>
      <c r="AF559" s="4"/>
    </row>
    <row r="560" spans="1:32" x14ac:dyDescent="0.2">
      <c r="A560" s="5">
        <v>-8</v>
      </c>
      <c r="B560" s="6" t="s">
        <v>147</v>
      </c>
      <c r="C560" s="6" t="s">
        <v>147</v>
      </c>
      <c r="D560" s="6" t="s">
        <v>10</v>
      </c>
      <c r="E560" s="5">
        <v>8104</v>
      </c>
      <c r="G560" s="9" t="s">
        <v>9</v>
      </c>
      <c r="H560" s="9">
        <v>46081</v>
      </c>
      <c r="I560" s="6" t="s">
        <v>2</v>
      </c>
      <c r="L560" s="18">
        <v>1</v>
      </c>
      <c r="M560" s="19">
        <v>0.84</v>
      </c>
      <c r="N560" s="18">
        <v>0.84</v>
      </c>
      <c r="T560" s="4"/>
      <c r="U560" s="4"/>
      <c r="V560" s="4"/>
      <c r="W560" s="4"/>
      <c r="X560" s="4"/>
      <c r="Y560" s="4"/>
      <c r="Z560" s="4"/>
      <c r="AA560" s="4"/>
      <c r="AD560" s="20" t="str">
        <f>IF((B560="")+(B560="Vacante")+(D560=""),"",IFERROR(MATCH(D560,{"Oficinas";"Locales";"Estacionamientos";"Bodegas"},0),5)&amp;"|"&amp;B560&amp;"|"&amp;TEXT(G560,"yyyymmdd")&amp;"|"&amp;TEXT(H560,"yyyymmdd"))</f>
        <v>3|CENTRAL PARKIING SYSTEM CHILE|-|20260228</v>
      </c>
      <c r="AE560" s="4"/>
      <c r="AF560" s="4"/>
    </row>
    <row r="561" spans="1:32" x14ac:dyDescent="0.2">
      <c r="A561" s="5">
        <v>-8</v>
      </c>
      <c r="B561" s="6" t="s">
        <v>147</v>
      </c>
      <c r="C561" s="6" t="s">
        <v>147</v>
      </c>
      <c r="D561" s="6" t="s">
        <v>10</v>
      </c>
      <c r="E561" s="5">
        <v>8105</v>
      </c>
      <c r="G561" s="9" t="s">
        <v>9</v>
      </c>
      <c r="H561" s="9">
        <v>46081</v>
      </c>
      <c r="I561" s="6" t="s">
        <v>2</v>
      </c>
      <c r="L561" s="18">
        <v>1</v>
      </c>
      <c r="M561" s="19">
        <v>0.84</v>
      </c>
      <c r="N561" s="18">
        <v>0.84</v>
      </c>
      <c r="T561" s="4"/>
      <c r="U561" s="4"/>
      <c r="V561" s="4"/>
      <c r="W561" s="4"/>
      <c r="X561" s="4"/>
      <c r="Y561" s="4"/>
      <c r="Z561" s="4"/>
      <c r="AA561" s="4"/>
      <c r="AD561" s="20" t="str">
        <f>IF((B561="")+(B561="Vacante")+(D561=""),"",IFERROR(MATCH(D561,{"Oficinas";"Locales";"Estacionamientos";"Bodegas"},0),5)&amp;"|"&amp;B561&amp;"|"&amp;TEXT(G561,"yyyymmdd")&amp;"|"&amp;TEXT(H561,"yyyymmdd"))</f>
        <v>3|CENTRAL PARKIING SYSTEM CHILE|-|20260228</v>
      </c>
      <c r="AE561" s="4"/>
      <c r="AF561" s="4"/>
    </row>
    <row r="562" spans="1:32" x14ac:dyDescent="0.2">
      <c r="A562" s="5">
        <v>-8</v>
      </c>
      <c r="B562" s="6" t="s">
        <v>147</v>
      </c>
      <c r="C562" s="6" t="s">
        <v>147</v>
      </c>
      <c r="D562" s="6" t="s">
        <v>10</v>
      </c>
      <c r="E562" s="5">
        <v>8106</v>
      </c>
      <c r="G562" s="9" t="s">
        <v>9</v>
      </c>
      <c r="H562" s="9">
        <v>46081</v>
      </c>
      <c r="I562" s="6" t="s">
        <v>2</v>
      </c>
      <c r="L562" s="18">
        <v>1</v>
      </c>
      <c r="M562" s="19">
        <v>0.84</v>
      </c>
      <c r="N562" s="18">
        <v>0.84</v>
      </c>
      <c r="T562" s="4"/>
      <c r="U562" s="4"/>
      <c r="V562" s="4"/>
      <c r="W562" s="4"/>
      <c r="X562" s="4"/>
      <c r="Y562" s="4"/>
      <c r="Z562" s="4"/>
      <c r="AA562" s="4"/>
      <c r="AD562" s="20" t="str">
        <f>IF((B562="")+(B562="Vacante")+(D562=""),"",IFERROR(MATCH(D562,{"Oficinas";"Locales";"Estacionamientos";"Bodegas"},0),5)&amp;"|"&amp;B562&amp;"|"&amp;TEXT(G562,"yyyymmdd")&amp;"|"&amp;TEXT(H562,"yyyymmdd"))</f>
        <v>3|CENTRAL PARKIING SYSTEM CHILE|-|20260228</v>
      </c>
      <c r="AE562" s="4"/>
      <c r="AF562" s="4"/>
    </row>
    <row r="563" spans="1:32" x14ac:dyDescent="0.2">
      <c r="A563" s="5">
        <v>-8</v>
      </c>
      <c r="B563" s="6" t="s">
        <v>147</v>
      </c>
      <c r="C563" s="6" t="s">
        <v>147</v>
      </c>
      <c r="D563" s="6" t="s">
        <v>10</v>
      </c>
      <c r="E563" s="5">
        <v>8107</v>
      </c>
      <c r="G563" s="9" t="s">
        <v>9</v>
      </c>
      <c r="H563" s="9">
        <v>46081</v>
      </c>
      <c r="I563" s="6" t="s">
        <v>2</v>
      </c>
      <c r="L563" s="18">
        <v>1</v>
      </c>
      <c r="M563" s="19">
        <v>0.84</v>
      </c>
      <c r="N563" s="18">
        <v>0.84</v>
      </c>
      <c r="T563" s="4"/>
      <c r="U563" s="4"/>
      <c r="V563" s="4"/>
      <c r="W563" s="4"/>
      <c r="X563" s="4"/>
      <c r="Y563" s="4"/>
      <c r="Z563" s="4"/>
      <c r="AA563" s="4"/>
      <c r="AD563" s="20" t="str">
        <f>IF((B563="")+(B563="Vacante")+(D563=""),"",IFERROR(MATCH(D563,{"Oficinas";"Locales";"Estacionamientos";"Bodegas"},0),5)&amp;"|"&amp;B563&amp;"|"&amp;TEXT(G563,"yyyymmdd")&amp;"|"&amp;TEXT(H563,"yyyymmdd"))</f>
        <v>3|CENTRAL PARKIING SYSTEM CHILE|-|20260228</v>
      </c>
      <c r="AE563" s="4"/>
      <c r="AF563" s="4"/>
    </row>
    <row r="564" spans="1:32" x14ac:dyDescent="0.2">
      <c r="A564" s="5">
        <v>-8</v>
      </c>
      <c r="B564" s="6" t="s">
        <v>147</v>
      </c>
      <c r="C564" s="6" t="s">
        <v>147</v>
      </c>
      <c r="D564" s="6" t="s">
        <v>10</v>
      </c>
      <c r="E564" s="5">
        <v>8108</v>
      </c>
      <c r="G564" s="9" t="s">
        <v>9</v>
      </c>
      <c r="H564" s="9">
        <v>46081</v>
      </c>
      <c r="I564" s="6" t="s">
        <v>2</v>
      </c>
      <c r="L564" s="18">
        <v>1</v>
      </c>
      <c r="M564" s="19">
        <v>0.84</v>
      </c>
      <c r="N564" s="18">
        <v>0.84</v>
      </c>
      <c r="T564" s="4"/>
      <c r="U564" s="4"/>
      <c r="V564" s="4"/>
      <c r="W564" s="4"/>
      <c r="X564" s="4"/>
      <c r="Y564" s="4"/>
      <c r="Z564" s="4"/>
      <c r="AA564" s="4"/>
      <c r="AD564" s="20" t="str">
        <f>IF((B564="")+(B564="Vacante")+(D564=""),"",IFERROR(MATCH(D564,{"Oficinas";"Locales";"Estacionamientos";"Bodegas"},0),5)&amp;"|"&amp;B564&amp;"|"&amp;TEXT(G564,"yyyymmdd")&amp;"|"&amp;TEXT(H564,"yyyymmdd"))</f>
        <v>3|CENTRAL PARKIING SYSTEM CHILE|-|20260228</v>
      </c>
      <c r="AE564" s="4"/>
      <c r="AF564" s="4"/>
    </row>
    <row r="565" spans="1:32" x14ac:dyDescent="0.2">
      <c r="A565" s="5">
        <v>-8</v>
      </c>
      <c r="B565" s="6" t="s">
        <v>147</v>
      </c>
      <c r="C565" s="6" t="s">
        <v>147</v>
      </c>
      <c r="D565" s="6" t="s">
        <v>10</v>
      </c>
      <c r="E565" s="5">
        <v>8109</v>
      </c>
      <c r="G565" s="9" t="s">
        <v>9</v>
      </c>
      <c r="H565" s="9">
        <v>46081</v>
      </c>
      <c r="I565" s="6" t="s">
        <v>2</v>
      </c>
      <c r="L565" s="18">
        <v>1</v>
      </c>
      <c r="M565" s="19">
        <v>0.84</v>
      </c>
      <c r="N565" s="18">
        <v>0.84</v>
      </c>
      <c r="T565" s="4"/>
      <c r="U565" s="4"/>
      <c r="V565" s="4"/>
      <c r="W565" s="4"/>
      <c r="X565" s="4"/>
      <c r="Y565" s="4"/>
      <c r="Z565" s="4"/>
      <c r="AA565" s="4"/>
      <c r="AD565" s="20" t="str">
        <f>IF((B565="")+(B565="Vacante")+(D565=""),"",IFERROR(MATCH(D565,{"Oficinas";"Locales";"Estacionamientos";"Bodegas"},0),5)&amp;"|"&amp;B565&amp;"|"&amp;TEXT(G565,"yyyymmdd")&amp;"|"&amp;TEXT(H565,"yyyymmdd"))</f>
        <v>3|CENTRAL PARKIING SYSTEM CHILE|-|20260228</v>
      </c>
      <c r="AE565" s="4"/>
      <c r="AF565" s="4"/>
    </row>
    <row r="566" spans="1:32" x14ac:dyDescent="0.2">
      <c r="A566" s="5">
        <v>-8</v>
      </c>
      <c r="B566" s="6" t="s">
        <v>147</v>
      </c>
      <c r="C566" s="6" t="s">
        <v>147</v>
      </c>
      <c r="D566" s="6" t="s">
        <v>10</v>
      </c>
      <c r="E566" s="5">
        <v>8110</v>
      </c>
      <c r="G566" s="9" t="s">
        <v>9</v>
      </c>
      <c r="H566" s="9">
        <v>46081</v>
      </c>
      <c r="I566" s="6" t="s">
        <v>2</v>
      </c>
      <c r="L566" s="18">
        <v>1</v>
      </c>
      <c r="M566" s="19">
        <v>0.84</v>
      </c>
      <c r="N566" s="18">
        <v>0.84</v>
      </c>
      <c r="T566" s="4"/>
      <c r="U566" s="4"/>
      <c r="V566" s="4"/>
      <c r="W566" s="4"/>
      <c r="X566" s="4"/>
      <c r="Y566" s="4"/>
      <c r="Z566" s="4"/>
      <c r="AA566" s="4"/>
      <c r="AD566" s="20" t="str">
        <f>IF((B566="")+(B566="Vacante")+(D566=""),"",IFERROR(MATCH(D566,{"Oficinas";"Locales";"Estacionamientos";"Bodegas"},0),5)&amp;"|"&amp;B566&amp;"|"&amp;TEXT(G566,"yyyymmdd")&amp;"|"&amp;TEXT(H566,"yyyymmdd"))</f>
        <v>3|CENTRAL PARKIING SYSTEM CHILE|-|20260228</v>
      </c>
      <c r="AE566" s="4"/>
      <c r="AF566" s="4"/>
    </row>
    <row r="567" spans="1:32" x14ac:dyDescent="0.2">
      <c r="A567" s="5">
        <v>-8</v>
      </c>
      <c r="B567" s="6" t="s">
        <v>147</v>
      </c>
      <c r="C567" s="6" t="s">
        <v>147</v>
      </c>
      <c r="D567" s="6" t="s">
        <v>10</v>
      </c>
      <c r="E567" s="5">
        <v>8111</v>
      </c>
      <c r="G567" s="9" t="s">
        <v>9</v>
      </c>
      <c r="H567" s="9">
        <v>46081</v>
      </c>
      <c r="I567" s="6" t="s">
        <v>2</v>
      </c>
      <c r="L567" s="18">
        <v>1</v>
      </c>
      <c r="M567" s="19">
        <v>0.84</v>
      </c>
      <c r="N567" s="18">
        <v>0.84</v>
      </c>
      <c r="T567" s="4"/>
      <c r="U567" s="4"/>
      <c r="V567" s="4"/>
      <c r="W567" s="4"/>
      <c r="X567" s="4"/>
      <c r="Y567" s="4"/>
      <c r="Z567" s="4"/>
      <c r="AA567" s="4"/>
      <c r="AD567" s="20" t="str">
        <f>IF((B567="")+(B567="Vacante")+(D567=""),"",IFERROR(MATCH(D567,{"Oficinas";"Locales";"Estacionamientos";"Bodegas"},0),5)&amp;"|"&amp;B567&amp;"|"&amp;TEXT(G567,"yyyymmdd")&amp;"|"&amp;TEXT(H567,"yyyymmdd"))</f>
        <v>3|CENTRAL PARKIING SYSTEM CHILE|-|20260228</v>
      </c>
      <c r="AE567" s="4"/>
      <c r="AF567" s="4"/>
    </row>
    <row r="568" spans="1:32" x14ac:dyDescent="0.2">
      <c r="A568" s="5">
        <v>-8</v>
      </c>
      <c r="B568" s="6" t="s">
        <v>147</v>
      </c>
      <c r="C568" s="6" t="s">
        <v>147</v>
      </c>
      <c r="D568" s="6" t="s">
        <v>10</v>
      </c>
      <c r="E568" s="5">
        <v>8112</v>
      </c>
      <c r="G568" s="9" t="s">
        <v>9</v>
      </c>
      <c r="H568" s="9">
        <v>46081</v>
      </c>
      <c r="I568" s="6" t="s">
        <v>2</v>
      </c>
      <c r="L568" s="18">
        <v>1</v>
      </c>
      <c r="M568" s="19">
        <v>0.84</v>
      </c>
      <c r="N568" s="18">
        <v>0.84</v>
      </c>
      <c r="T568" s="4"/>
      <c r="U568" s="4"/>
      <c r="V568" s="4"/>
      <c r="W568" s="4"/>
      <c r="X568" s="4"/>
      <c r="Y568" s="4"/>
      <c r="Z568" s="4"/>
      <c r="AA568" s="4"/>
      <c r="AD568" s="20" t="str">
        <f>IF((B568="")+(B568="Vacante")+(D568=""),"",IFERROR(MATCH(D568,{"Oficinas";"Locales";"Estacionamientos";"Bodegas"},0),5)&amp;"|"&amp;B568&amp;"|"&amp;TEXT(G568,"yyyymmdd")&amp;"|"&amp;TEXT(H568,"yyyymmdd"))</f>
        <v>3|CENTRAL PARKIING SYSTEM CHILE|-|20260228</v>
      </c>
      <c r="AE568" s="4"/>
      <c r="AF568" s="4"/>
    </row>
    <row r="569" spans="1:32" x14ac:dyDescent="0.2">
      <c r="A569" s="5">
        <v>-8</v>
      </c>
      <c r="B569" s="6" t="s">
        <v>147</v>
      </c>
      <c r="C569" s="6" t="s">
        <v>147</v>
      </c>
      <c r="D569" s="6" t="s">
        <v>10</v>
      </c>
      <c r="E569" s="5">
        <v>8113</v>
      </c>
      <c r="G569" s="9" t="s">
        <v>9</v>
      </c>
      <c r="H569" s="9">
        <v>46081</v>
      </c>
      <c r="I569" s="6" t="s">
        <v>2</v>
      </c>
      <c r="L569" s="18">
        <v>1</v>
      </c>
      <c r="M569" s="19">
        <v>0.84</v>
      </c>
      <c r="N569" s="18">
        <v>0.84</v>
      </c>
      <c r="T569" s="4"/>
      <c r="U569" s="4"/>
      <c r="V569" s="4"/>
      <c r="W569" s="4"/>
      <c r="X569" s="4"/>
      <c r="Y569" s="4"/>
      <c r="Z569" s="4"/>
      <c r="AA569" s="4"/>
      <c r="AD569" s="20" t="str">
        <f>IF((B569="")+(B569="Vacante")+(D569=""),"",IFERROR(MATCH(D569,{"Oficinas";"Locales";"Estacionamientos";"Bodegas"},0),5)&amp;"|"&amp;B569&amp;"|"&amp;TEXT(G569,"yyyymmdd")&amp;"|"&amp;TEXT(H569,"yyyymmdd"))</f>
        <v>3|CENTRAL PARKIING SYSTEM CHILE|-|20260228</v>
      </c>
      <c r="AE569" s="4"/>
      <c r="AF569" s="4"/>
    </row>
    <row r="570" spans="1:32" x14ac:dyDescent="0.2">
      <c r="A570" s="5">
        <v>-8</v>
      </c>
      <c r="B570" s="6" t="s">
        <v>147</v>
      </c>
      <c r="C570" s="6" t="s">
        <v>147</v>
      </c>
      <c r="D570" s="6" t="s">
        <v>10</v>
      </c>
      <c r="E570" s="5">
        <v>8114</v>
      </c>
      <c r="G570" s="9" t="s">
        <v>9</v>
      </c>
      <c r="H570" s="9">
        <v>46081</v>
      </c>
      <c r="I570" s="6" t="s">
        <v>2</v>
      </c>
      <c r="L570" s="18">
        <v>1</v>
      </c>
      <c r="M570" s="19">
        <v>0.84</v>
      </c>
      <c r="N570" s="18">
        <v>0.84</v>
      </c>
      <c r="T570" s="4"/>
      <c r="U570" s="4"/>
      <c r="V570" s="4"/>
      <c r="W570" s="4"/>
      <c r="X570" s="4"/>
      <c r="Y570" s="4"/>
      <c r="Z570" s="4"/>
      <c r="AA570" s="4"/>
      <c r="AD570" s="20" t="str">
        <f>IF((B570="")+(B570="Vacante")+(D570=""),"",IFERROR(MATCH(D570,{"Oficinas";"Locales";"Estacionamientos";"Bodegas"},0),5)&amp;"|"&amp;B570&amp;"|"&amp;TEXT(G570,"yyyymmdd")&amp;"|"&amp;TEXT(H570,"yyyymmdd"))</f>
        <v>3|CENTRAL PARKIING SYSTEM CHILE|-|20260228</v>
      </c>
      <c r="AE570" s="4"/>
      <c r="AF570" s="4"/>
    </row>
    <row r="571" spans="1:32" x14ac:dyDescent="0.2">
      <c r="A571" s="5">
        <v>-8</v>
      </c>
      <c r="B571" s="6" t="s">
        <v>147</v>
      </c>
      <c r="C571" s="6" t="s">
        <v>147</v>
      </c>
      <c r="D571" s="6" t="s">
        <v>10</v>
      </c>
      <c r="E571" s="5">
        <v>8115</v>
      </c>
      <c r="G571" s="9" t="s">
        <v>9</v>
      </c>
      <c r="H571" s="9">
        <v>46081</v>
      </c>
      <c r="I571" s="6" t="s">
        <v>2</v>
      </c>
      <c r="L571" s="18">
        <v>1</v>
      </c>
      <c r="M571" s="19">
        <v>0.84</v>
      </c>
      <c r="N571" s="18">
        <v>0.84</v>
      </c>
      <c r="T571" s="4"/>
      <c r="U571" s="4"/>
      <c r="V571" s="4"/>
      <c r="W571" s="4"/>
      <c r="X571" s="4"/>
      <c r="Y571" s="4"/>
      <c r="Z571" s="4"/>
      <c r="AA571" s="4"/>
      <c r="AD571" s="20" t="str">
        <f>IF((B571="")+(B571="Vacante")+(D571=""),"",IFERROR(MATCH(D571,{"Oficinas";"Locales";"Estacionamientos";"Bodegas"},0),5)&amp;"|"&amp;B571&amp;"|"&amp;TEXT(G571,"yyyymmdd")&amp;"|"&amp;TEXT(H571,"yyyymmdd"))</f>
        <v>3|CENTRAL PARKIING SYSTEM CHILE|-|20260228</v>
      </c>
      <c r="AE571" s="4"/>
      <c r="AF571" s="4"/>
    </row>
    <row r="572" spans="1:32" x14ac:dyDescent="0.2">
      <c r="A572" s="5">
        <v>-8</v>
      </c>
      <c r="B572" s="6" t="s">
        <v>147</v>
      </c>
      <c r="C572" s="6" t="s">
        <v>147</v>
      </c>
      <c r="D572" s="6" t="s">
        <v>10</v>
      </c>
      <c r="E572" s="5">
        <v>8116</v>
      </c>
      <c r="G572" s="9" t="s">
        <v>9</v>
      </c>
      <c r="H572" s="9">
        <v>46081</v>
      </c>
      <c r="I572" s="6" t="s">
        <v>2</v>
      </c>
      <c r="L572" s="18">
        <v>1</v>
      </c>
      <c r="M572" s="19">
        <v>0.84</v>
      </c>
      <c r="N572" s="18">
        <v>0.84</v>
      </c>
      <c r="T572" s="4"/>
      <c r="U572" s="4"/>
      <c r="V572" s="4"/>
      <c r="W572" s="4"/>
      <c r="X572" s="4"/>
      <c r="Y572" s="4"/>
      <c r="Z572" s="4"/>
      <c r="AA572" s="4"/>
      <c r="AD572" s="20" t="str">
        <f>IF((B572="")+(B572="Vacante")+(D572=""),"",IFERROR(MATCH(D572,{"Oficinas";"Locales";"Estacionamientos";"Bodegas"},0),5)&amp;"|"&amp;B572&amp;"|"&amp;TEXT(G572,"yyyymmdd")&amp;"|"&amp;TEXT(H572,"yyyymmdd"))</f>
        <v>3|CENTRAL PARKIING SYSTEM CHILE|-|20260228</v>
      </c>
      <c r="AE572" s="4"/>
      <c r="AF572" s="4"/>
    </row>
    <row r="573" spans="1:32" x14ac:dyDescent="0.2">
      <c r="A573" s="5">
        <v>-8</v>
      </c>
      <c r="B573" s="6" t="s">
        <v>147</v>
      </c>
      <c r="C573" s="6" t="s">
        <v>147</v>
      </c>
      <c r="D573" s="6" t="s">
        <v>10</v>
      </c>
      <c r="E573" s="5">
        <v>8117</v>
      </c>
      <c r="G573" s="9" t="s">
        <v>9</v>
      </c>
      <c r="H573" s="9">
        <v>46081</v>
      </c>
      <c r="I573" s="6" t="s">
        <v>2</v>
      </c>
      <c r="L573" s="18">
        <v>1</v>
      </c>
      <c r="M573" s="19">
        <v>0.84</v>
      </c>
      <c r="N573" s="18">
        <v>0.84</v>
      </c>
      <c r="T573" s="4"/>
      <c r="U573" s="4"/>
      <c r="V573" s="4"/>
      <c r="W573" s="4"/>
      <c r="X573" s="4"/>
      <c r="Y573" s="4"/>
      <c r="Z573" s="4"/>
      <c r="AA573" s="4"/>
      <c r="AD573" s="20" t="str">
        <f>IF((B573="")+(B573="Vacante")+(D573=""),"",IFERROR(MATCH(D573,{"Oficinas";"Locales";"Estacionamientos";"Bodegas"},0),5)&amp;"|"&amp;B573&amp;"|"&amp;TEXT(G573,"yyyymmdd")&amp;"|"&amp;TEXT(H573,"yyyymmdd"))</f>
        <v>3|CENTRAL PARKIING SYSTEM CHILE|-|20260228</v>
      </c>
      <c r="AE573" s="4"/>
      <c r="AF573" s="4"/>
    </row>
    <row r="574" spans="1:32" x14ac:dyDescent="0.2">
      <c r="A574" s="5">
        <v>-8</v>
      </c>
      <c r="B574" s="6" t="s">
        <v>147</v>
      </c>
      <c r="C574" s="6" t="s">
        <v>147</v>
      </c>
      <c r="D574" s="6" t="s">
        <v>10</v>
      </c>
      <c r="E574" s="5">
        <v>8118</v>
      </c>
      <c r="F574" s="6" t="s">
        <v>104</v>
      </c>
      <c r="G574" s="9" t="s">
        <v>9</v>
      </c>
      <c r="H574" s="9">
        <v>46081</v>
      </c>
      <c r="I574" s="6" t="s">
        <v>2</v>
      </c>
      <c r="L574" s="18">
        <v>1</v>
      </c>
      <c r="M574" s="19">
        <v>0.84</v>
      </c>
      <c r="N574" s="18">
        <v>0.84</v>
      </c>
      <c r="T574" s="4"/>
      <c r="U574" s="4"/>
      <c r="V574" s="4"/>
      <c r="W574" s="4"/>
      <c r="X574" s="4"/>
      <c r="Y574" s="4"/>
      <c r="Z574" s="4"/>
      <c r="AA574" s="4"/>
      <c r="AD574" s="20" t="str">
        <f>IF((B574="")+(B574="Vacante")+(D574=""),"",IFERROR(MATCH(D574,{"Oficinas";"Locales";"Estacionamientos";"Bodegas"},0),5)&amp;"|"&amp;B574&amp;"|"&amp;TEXT(G574,"yyyymmdd")&amp;"|"&amp;TEXT(H574,"yyyymmdd"))</f>
        <v>3|CENTRAL PARKIING SYSTEM CHILE|-|20260228</v>
      </c>
      <c r="AE574" s="4"/>
      <c r="AF574" s="4"/>
    </row>
    <row r="575" spans="1:32" x14ac:dyDescent="0.2">
      <c r="A575" s="5">
        <v>-8</v>
      </c>
      <c r="B575" s="6" t="s">
        <v>147</v>
      </c>
      <c r="C575" s="6" t="s">
        <v>147</v>
      </c>
      <c r="D575" s="6" t="s">
        <v>10</v>
      </c>
      <c r="E575" s="5">
        <v>8119</v>
      </c>
      <c r="F575" s="6" t="s">
        <v>104</v>
      </c>
      <c r="G575" s="9" t="s">
        <v>9</v>
      </c>
      <c r="H575" s="9">
        <v>46081</v>
      </c>
      <c r="I575" s="6" t="s">
        <v>2</v>
      </c>
      <c r="L575" s="18">
        <v>1</v>
      </c>
      <c r="M575" s="19">
        <v>0.84</v>
      </c>
      <c r="N575" s="18">
        <v>0.84</v>
      </c>
      <c r="T575" s="4"/>
      <c r="U575" s="4"/>
      <c r="V575" s="4"/>
      <c r="W575" s="4"/>
      <c r="X575" s="4"/>
      <c r="Y575" s="4"/>
      <c r="Z575" s="4"/>
      <c r="AA575" s="4"/>
      <c r="AD575" s="20" t="str">
        <f>IF((B575="")+(B575="Vacante")+(D575=""),"",IFERROR(MATCH(D575,{"Oficinas";"Locales";"Estacionamientos";"Bodegas"},0),5)&amp;"|"&amp;B575&amp;"|"&amp;TEXT(G575,"yyyymmdd")&amp;"|"&amp;TEXT(H575,"yyyymmdd"))</f>
        <v>3|CENTRAL PARKIING SYSTEM CHILE|-|20260228</v>
      </c>
      <c r="AE575" s="4"/>
      <c r="AF575" s="4"/>
    </row>
    <row r="576" spans="1:32" x14ac:dyDescent="0.2">
      <c r="A576" s="5">
        <v>-8</v>
      </c>
      <c r="B576" s="6" t="s">
        <v>147</v>
      </c>
      <c r="C576" s="6" t="s">
        <v>147</v>
      </c>
      <c r="D576" s="6" t="s">
        <v>10</v>
      </c>
      <c r="E576" s="5">
        <v>8120</v>
      </c>
      <c r="F576" s="6" t="s">
        <v>104</v>
      </c>
      <c r="G576" s="9" t="s">
        <v>9</v>
      </c>
      <c r="H576" s="9">
        <v>46081</v>
      </c>
      <c r="I576" s="6" t="s">
        <v>2</v>
      </c>
      <c r="L576" s="18">
        <v>1</v>
      </c>
      <c r="M576" s="19">
        <v>0.84</v>
      </c>
      <c r="N576" s="18">
        <v>0.84</v>
      </c>
      <c r="T576" s="4"/>
      <c r="U576" s="4"/>
      <c r="V576" s="4"/>
      <c r="W576" s="4"/>
      <c r="X576" s="4"/>
      <c r="Y576" s="4"/>
      <c r="Z576" s="4"/>
      <c r="AA576" s="4"/>
      <c r="AD576" s="20" t="str">
        <f>IF((B576="")+(B576="Vacante")+(D576=""),"",IFERROR(MATCH(D576,{"Oficinas";"Locales";"Estacionamientos";"Bodegas"},0),5)&amp;"|"&amp;B576&amp;"|"&amp;TEXT(G576,"yyyymmdd")&amp;"|"&amp;TEXT(H576,"yyyymmdd"))</f>
        <v>3|CENTRAL PARKIING SYSTEM CHILE|-|20260228</v>
      </c>
      <c r="AE576" s="4"/>
      <c r="AF576" s="4"/>
    </row>
    <row r="577" spans="1:32" x14ac:dyDescent="0.2">
      <c r="A577" s="5">
        <v>-8</v>
      </c>
      <c r="B577" s="6" t="s">
        <v>147</v>
      </c>
      <c r="C577" s="6" t="s">
        <v>147</v>
      </c>
      <c r="D577" s="6" t="s">
        <v>10</v>
      </c>
      <c r="E577" s="5">
        <v>8121</v>
      </c>
      <c r="F577" s="6" t="s">
        <v>104</v>
      </c>
      <c r="G577" s="9" t="s">
        <v>9</v>
      </c>
      <c r="H577" s="9">
        <v>46081</v>
      </c>
      <c r="I577" s="6" t="s">
        <v>2</v>
      </c>
      <c r="L577" s="18">
        <v>1</v>
      </c>
      <c r="M577" s="19">
        <v>0.84</v>
      </c>
      <c r="N577" s="18">
        <v>0.84</v>
      </c>
      <c r="T577" s="4"/>
      <c r="U577" s="4"/>
      <c r="V577" s="4"/>
      <c r="W577" s="4"/>
      <c r="X577" s="4"/>
      <c r="Y577" s="4"/>
      <c r="Z577" s="4"/>
      <c r="AA577" s="4"/>
      <c r="AD577" s="20" t="str">
        <f>IF((B577="")+(B577="Vacante")+(D577=""),"",IFERROR(MATCH(D577,{"Oficinas";"Locales";"Estacionamientos";"Bodegas"},0),5)&amp;"|"&amp;B577&amp;"|"&amp;TEXT(G577,"yyyymmdd")&amp;"|"&amp;TEXT(H577,"yyyymmdd"))</f>
        <v>3|CENTRAL PARKIING SYSTEM CHILE|-|20260228</v>
      </c>
      <c r="AE577" s="4"/>
      <c r="AF577" s="4"/>
    </row>
    <row r="578" spans="1:32" x14ac:dyDescent="0.2">
      <c r="A578" s="5">
        <v>-8</v>
      </c>
      <c r="B578" s="6" t="s">
        <v>147</v>
      </c>
      <c r="C578" s="6" t="s">
        <v>147</v>
      </c>
      <c r="D578" s="6" t="s">
        <v>10</v>
      </c>
      <c r="E578" s="5">
        <v>8122</v>
      </c>
      <c r="G578" s="9" t="s">
        <v>9</v>
      </c>
      <c r="H578" s="9">
        <v>46081</v>
      </c>
      <c r="I578" s="6" t="s">
        <v>2</v>
      </c>
      <c r="L578" s="18">
        <v>1</v>
      </c>
      <c r="M578" s="19">
        <v>0.84</v>
      </c>
      <c r="N578" s="18">
        <v>0.84</v>
      </c>
      <c r="T578" s="4"/>
      <c r="U578" s="4"/>
      <c r="V578" s="4"/>
      <c r="W578" s="4"/>
      <c r="X578" s="4"/>
      <c r="Y578" s="4"/>
      <c r="Z578" s="4"/>
      <c r="AA578" s="4"/>
      <c r="AD578" s="20" t="str">
        <f>IF((B578="")+(B578="Vacante")+(D578=""),"",IFERROR(MATCH(D578,{"Oficinas";"Locales";"Estacionamientos";"Bodegas"},0),5)&amp;"|"&amp;B578&amp;"|"&amp;TEXT(G578,"yyyymmdd")&amp;"|"&amp;TEXT(H578,"yyyymmdd"))</f>
        <v>3|CENTRAL PARKIING SYSTEM CHILE|-|20260228</v>
      </c>
      <c r="AE578" s="4"/>
      <c r="AF578" s="4"/>
    </row>
    <row r="579" spans="1:32" x14ac:dyDescent="0.2">
      <c r="A579" s="5">
        <v>-8</v>
      </c>
      <c r="B579" s="6" t="s">
        <v>147</v>
      </c>
      <c r="C579" s="6" t="s">
        <v>147</v>
      </c>
      <c r="D579" s="6" t="s">
        <v>10</v>
      </c>
      <c r="E579" s="5">
        <v>8123</v>
      </c>
      <c r="G579" s="9" t="s">
        <v>9</v>
      </c>
      <c r="H579" s="9">
        <v>46081</v>
      </c>
      <c r="I579" s="6" t="s">
        <v>2</v>
      </c>
      <c r="L579" s="18">
        <v>1</v>
      </c>
      <c r="M579" s="19">
        <v>0.84</v>
      </c>
      <c r="N579" s="18">
        <v>0.84</v>
      </c>
      <c r="T579" s="4"/>
      <c r="U579" s="4"/>
      <c r="V579" s="4"/>
      <c r="W579" s="4"/>
      <c r="X579" s="4"/>
      <c r="Y579" s="4"/>
      <c r="Z579" s="4"/>
      <c r="AA579" s="4"/>
      <c r="AD579" s="20" t="str">
        <f>IF((B579="")+(B579="Vacante")+(D579=""),"",IFERROR(MATCH(D579,{"Oficinas";"Locales";"Estacionamientos";"Bodegas"},0),5)&amp;"|"&amp;B579&amp;"|"&amp;TEXT(G579,"yyyymmdd")&amp;"|"&amp;TEXT(H579,"yyyymmdd"))</f>
        <v>3|CENTRAL PARKIING SYSTEM CHILE|-|20260228</v>
      </c>
      <c r="AE579" s="4"/>
      <c r="AF579" s="4"/>
    </row>
    <row r="580" spans="1:32" x14ac:dyDescent="0.2">
      <c r="A580" s="5">
        <v>-8</v>
      </c>
      <c r="B580" s="6" t="s">
        <v>147</v>
      </c>
      <c r="C580" s="6" t="s">
        <v>147</v>
      </c>
      <c r="D580" s="6" t="s">
        <v>10</v>
      </c>
      <c r="E580" s="5">
        <v>8124</v>
      </c>
      <c r="G580" s="9" t="s">
        <v>9</v>
      </c>
      <c r="H580" s="9">
        <v>46081</v>
      </c>
      <c r="I580" s="6" t="s">
        <v>2</v>
      </c>
      <c r="L580" s="18">
        <v>1</v>
      </c>
      <c r="M580" s="19">
        <v>0.84</v>
      </c>
      <c r="N580" s="18">
        <v>0.84</v>
      </c>
      <c r="T580" s="4"/>
      <c r="U580" s="4"/>
      <c r="V580" s="4"/>
      <c r="W580" s="4"/>
      <c r="X580" s="4"/>
      <c r="Y580" s="4"/>
      <c r="Z580" s="4"/>
      <c r="AA580" s="4"/>
      <c r="AD580" s="20" t="str">
        <f>IF((B580="")+(B580="Vacante")+(D580=""),"",IFERROR(MATCH(D580,{"Oficinas";"Locales";"Estacionamientos";"Bodegas"},0),5)&amp;"|"&amp;B580&amp;"|"&amp;TEXT(G580,"yyyymmdd")&amp;"|"&amp;TEXT(H580,"yyyymmdd"))</f>
        <v>3|CENTRAL PARKIING SYSTEM CHILE|-|20260228</v>
      </c>
      <c r="AE580" s="4"/>
      <c r="AF580" s="4"/>
    </row>
    <row r="581" spans="1:32" x14ac:dyDescent="0.2">
      <c r="A581" s="5">
        <v>-8</v>
      </c>
      <c r="B581" s="6" t="s">
        <v>147</v>
      </c>
      <c r="C581" s="6" t="s">
        <v>147</v>
      </c>
      <c r="D581" s="6" t="s">
        <v>10</v>
      </c>
      <c r="E581" s="5">
        <v>8125</v>
      </c>
      <c r="G581" s="9" t="s">
        <v>9</v>
      </c>
      <c r="H581" s="9">
        <v>46081</v>
      </c>
      <c r="I581" s="6" t="s">
        <v>2</v>
      </c>
      <c r="L581" s="18">
        <v>1</v>
      </c>
      <c r="M581" s="19">
        <v>0.84</v>
      </c>
      <c r="N581" s="18">
        <v>0.84</v>
      </c>
      <c r="T581" s="4"/>
      <c r="U581" s="4"/>
      <c r="V581" s="4"/>
      <c r="W581" s="4"/>
      <c r="X581" s="4"/>
      <c r="Y581" s="4"/>
      <c r="Z581" s="4"/>
      <c r="AA581" s="4"/>
      <c r="AD581" s="20" t="str">
        <f>IF((B581="")+(B581="Vacante")+(D581=""),"",IFERROR(MATCH(D581,{"Oficinas";"Locales";"Estacionamientos";"Bodegas"},0),5)&amp;"|"&amp;B581&amp;"|"&amp;TEXT(G581,"yyyymmdd")&amp;"|"&amp;TEXT(H581,"yyyymmdd"))</f>
        <v>3|CENTRAL PARKIING SYSTEM CHILE|-|20260228</v>
      </c>
      <c r="AE581" s="4"/>
      <c r="AF581" s="4"/>
    </row>
    <row r="582" spans="1:32" x14ac:dyDescent="0.2">
      <c r="A582" s="5">
        <v>-8</v>
      </c>
      <c r="B582" s="6" t="s">
        <v>147</v>
      </c>
      <c r="C582" s="6" t="s">
        <v>147</v>
      </c>
      <c r="D582" s="6" t="s">
        <v>10</v>
      </c>
      <c r="E582" s="5">
        <v>8126</v>
      </c>
      <c r="F582" s="6" t="s">
        <v>104</v>
      </c>
      <c r="G582" s="9" t="s">
        <v>9</v>
      </c>
      <c r="H582" s="9">
        <v>46081</v>
      </c>
      <c r="I582" s="6" t="s">
        <v>2</v>
      </c>
      <c r="L582" s="18">
        <v>1</v>
      </c>
      <c r="M582" s="19">
        <v>0.84</v>
      </c>
      <c r="N582" s="18">
        <v>0.84</v>
      </c>
      <c r="T582" s="4"/>
      <c r="U582" s="4"/>
      <c r="V582" s="4"/>
      <c r="W582" s="4"/>
      <c r="X582" s="4"/>
      <c r="Y582" s="4"/>
      <c r="Z582" s="4"/>
      <c r="AA582" s="4"/>
      <c r="AD582" s="20" t="str">
        <f>IF((B582="")+(B582="Vacante")+(D582=""),"",IFERROR(MATCH(D582,{"Oficinas";"Locales";"Estacionamientos";"Bodegas"},0),5)&amp;"|"&amp;B582&amp;"|"&amp;TEXT(G582,"yyyymmdd")&amp;"|"&amp;TEXT(H582,"yyyymmdd"))</f>
        <v>3|CENTRAL PARKIING SYSTEM CHILE|-|20260228</v>
      </c>
      <c r="AE582" s="4"/>
      <c r="AF582" s="4"/>
    </row>
    <row r="583" spans="1:32" x14ac:dyDescent="0.2">
      <c r="A583" s="5">
        <v>-8</v>
      </c>
      <c r="B583" s="6" t="s">
        <v>147</v>
      </c>
      <c r="C583" s="6" t="s">
        <v>147</v>
      </c>
      <c r="D583" s="6" t="s">
        <v>10</v>
      </c>
      <c r="E583" s="5">
        <v>8127</v>
      </c>
      <c r="G583" s="9" t="s">
        <v>9</v>
      </c>
      <c r="H583" s="9">
        <v>46081</v>
      </c>
      <c r="I583" s="6" t="s">
        <v>2</v>
      </c>
      <c r="L583" s="18">
        <v>1</v>
      </c>
      <c r="M583" s="19">
        <v>0.84</v>
      </c>
      <c r="N583" s="18">
        <v>0.84</v>
      </c>
      <c r="T583" s="4"/>
      <c r="U583" s="4"/>
      <c r="V583" s="4"/>
      <c r="W583" s="4"/>
      <c r="X583" s="4"/>
      <c r="Y583" s="4"/>
      <c r="Z583" s="4"/>
      <c r="AA583" s="4"/>
      <c r="AD583" s="20" t="str">
        <f>IF((B583="")+(B583="Vacante")+(D583=""),"",IFERROR(MATCH(D583,{"Oficinas";"Locales";"Estacionamientos";"Bodegas"},0),5)&amp;"|"&amp;B583&amp;"|"&amp;TEXT(G583,"yyyymmdd")&amp;"|"&amp;TEXT(H583,"yyyymmdd"))</f>
        <v>3|CENTRAL PARKIING SYSTEM CHILE|-|20260228</v>
      </c>
      <c r="AE583" s="4"/>
      <c r="AF583" s="4"/>
    </row>
    <row r="584" spans="1:32" x14ac:dyDescent="0.2">
      <c r="A584" s="5">
        <v>-8</v>
      </c>
      <c r="B584" s="6" t="s">
        <v>147</v>
      </c>
      <c r="C584" s="6" t="s">
        <v>147</v>
      </c>
      <c r="D584" s="6" t="s">
        <v>10</v>
      </c>
      <c r="E584" s="5">
        <v>8128</v>
      </c>
      <c r="G584" s="9" t="s">
        <v>9</v>
      </c>
      <c r="H584" s="9">
        <v>46081</v>
      </c>
      <c r="I584" s="6" t="s">
        <v>2</v>
      </c>
      <c r="L584" s="18">
        <v>1</v>
      </c>
      <c r="M584" s="19">
        <v>0.84</v>
      </c>
      <c r="N584" s="18">
        <v>0.84</v>
      </c>
      <c r="T584" s="4"/>
      <c r="U584" s="4"/>
      <c r="V584" s="4"/>
      <c r="W584" s="4"/>
      <c r="X584" s="4"/>
      <c r="Y584" s="4"/>
      <c r="Z584" s="4"/>
      <c r="AA584" s="4"/>
      <c r="AD584" s="20" t="str">
        <f>IF((B584="")+(B584="Vacante")+(D584=""),"",IFERROR(MATCH(D584,{"Oficinas";"Locales";"Estacionamientos";"Bodegas"},0),5)&amp;"|"&amp;B584&amp;"|"&amp;TEXT(G584,"yyyymmdd")&amp;"|"&amp;TEXT(H584,"yyyymmdd"))</f>
        <v>3|CENTRAL PARKIING SYSTEM CHILE|-|20260228</v>
      </c>
      <c r="AE584" s="4"/>
      <c r="AF584" s="4"/>
    </row>
    <row r="585" spans="1:32" x14ac:dyDescent="0.2">
      <c r="A585" s="5">
        <v>-8</v>
      </c>
      <c r="B585" s="6" t="s">
        <v>147</v>
      </c>
      <c r="C585" s="6" t="s">
        <v>147</v>
      </c>
      <c r="D585" s="6" t="s">
        <v>10</v>
      </c>
      <c r="E585" s="5">
        <v>8129</v>
      </c>
      <c r="G585" s="9" t="s">
        <v>9</v>
      </c>
      <c r="H585" s="9">
        <v>46081</v>
      </c>
      <c r="I585" s="6" t="s">
        <v>2</v>
      </c>
      <c r="L585" s="18">
        <v>1</v>
      </c>
      <c r="M585" s="19">
        <v>0.84</v>
      </c>
      <c r="N585" s="18">
        <v>0.84</v>
      </c>
      <c r="T585" s="4"/>
      <c r="U585" s="4"/>
      <c r="V585" s="4"/>
      <c r="W585" s="4"/>
      <c r="X585" s="4"/>
      <c r="Y585" s="4"/>
      <c r="Z585" s="4"/>
      <c r="AA585" s="4"/>
      <c r="AD585" s="20" t="str">
        <f>IF((B585="")+(B585="Vacante")+(D585=""),"",IFERROR(MATCH(D585,{"Oficinas";"Locales";"Estacionamientos";"Bodegas"},0),5)&amp;"|"&amp;B585&amp;"|"&amp;TEXT(G585,"yyyymmdd")&amp;"|"&amp;TEXT(H585,"yyyymmdd"))</f>
        <v>3|CENTRAL PARKIING SYSTEM CHILE|-|20260228</v>
      </c>
      <c r="AE585" s="4"/>
      <c r="AF585" s="4"/>
    </row>
    <row r="586" spans="1:32" x14ac:dyDescent="0.2">
      <c r="A586" s="5">
        <v>-8</v>
      </c>
      <c r="B586" s="6" t="s">
        <v>147</v>
      </c>
      <c r="C586" s="6" t="s">
        <v>147</v>
      </c>
      <c r="D586" s="6" t="s">
        <v>10</v>
      </c>
      <c r="E586" s="5">
        <v>8130</v>
      </c>
      <c r="G586" s="9" t="s">
        <v>9</v>
      </c>
      <c r="H586" s="9">
        <v>46081</v>
      </c>
      <c r="I586" s="6" t="s">
        <v>2</v>
      </c>
      <c r="L586" s="18">
        <v>1</v>
      </c>
      <c r="M586" s="19">
        <v>0.84</v>
      </c>
      <c r="N586" s="18">
        <v>0.84</v>
      </c>
      <c r="T586" s="4"/>
      <c r="U586" s="4"/>
      <c r="V586" s="4"/>
      <c r="W586" s="4"/>
      <c r="X586" s="4"/>
      <c r="Y586" s="4"/>
      <c r="Z586" s="4"/>
      <c r="AA586" s="4"/>
      <c r="AD586" s="20" t="str">
        <f>IF((B586="")+(B586="Vacante")+(D586=""),"",IFERROR(MATCH(D586,{"Oficinas";"Locales";"Estacionamientos";"Bodegas"},0),5)&amp;"|"&amp;B586&amp;"|"&amp;TEXT(G586,"yyyymmdd")&amp;"|"&amp;TEXT(H586,"yyyymmdd"))</f>
        <v>3|CENTRAL PARKIING SYSTEM CHILE|-|20260228</v>
      </c>
      <c r="AE586" s="4"/>
      <c r="AF586" s="4"/>
    </row>
    <row r="587" spans="1:32" x14ac:dyDescent="0.2">
      <c r="A587" s="5">
        <v>-8</v>
      </c>
      <c r="B587" s="6" t="s">
        <v>147</v>
      </c>
      <c r="C587" s="6" t="s">
        <v>147</v>
      </c>
      <c r="D587" s="6" t="s">
        <v>10</v>
      </c>
      <c r="E587" s="5">
        <v>8131</v>
      </c>
      <c r="F587" s="6" t="s">
        <v>155</v>
      </c>
      <c r="G587" s="9" t="s">
        <v>9</v>
      </c>
      <c r="H587" s="9">
        <v>46081</v>
      </c>
      <c r="I587" s="6" t="s">
        <v>2</v>
      </c>
      <c r="L587" s="18">
        <v>1</v>
      </c>
      <c r="M587" s="19">
        <v>0.84</v>
      </c>
      <c r="N587" s="18">
        <v>0.84</v>
      </c>
      <c r="T587" s="4"/>
      <c r="U587" s="4"/>
      <c r="V587" s="4"/>
      <c r="W587" s="4"/>
      <c r="X587" s="4"/>
      <c r="Y587" s="4"/>
      <c r="Z587" s="4"/>
      <c r="AA587" s="4"/>
      <c r="AD587" s="20" t="str">
        <f>IF((B587="")+(B587="Vacante")+(D587=""),"",IFERROR(MATCH(D587,{"Oficinas";"Locales";"Estacionamientos";"Bodegas"},0),5)&amp;"|"&amp;B587&amp;"|"&amp;TEXT(G587,"yyyymmdd")&amp;"|"&amp;TEXT(H587,"yyyymmdd"))</f>
        <v>3|CENTRAL PARKIING SYSTEM CHILE|-|20260228</v>
      </c>
      <c r="AE587" s="4"/>
      <c r="AF587" s="4"/>
    </row>
    <row r="588" spans="1:32" x14ac:dyDescent="0.2">
      <c r="A588" s="5">
        <v>-8</v>
      </c>
      <c r="B588" s="6" t="s">
        <v>147</v>
      </c>
      <c r="C588" s="6" t="s">
        <v>147</v>
      </c>
      <c r="D588" s="6" t="s">
        <v>10</v>
      </c>
      <c r="E588" s="5">
        <v>8132</v>
      </c>
      <c r="F588" s="6" t="s">
        <v>104</v>
      </c>
      <c r="G588" s="9" t="s">
        <v>9</v>
      </c>
      <c r="H588" s="9">
        <v>46081</v>
      </c>
      <c r="I588" s="6" t="s">
        <v>2</v>
      </c>
      <c r="L588" s="18">
        <v>1</v>
      </c>
      <c r="M588" s="19">
        <v>0.84</v>
      </c>
      <c r="N588" s="18">
        <v>0.84</v>
      </c>
      <c r="T588" s="4"/>
      <c r="U588" s="4"/>
      <c r="V588" s="4"/>
      <c r="W588" s="4"/>
      <c r="X588" s="4"/>
      <c r="Y588" s="4"/>
      <c r="Z588" s="4"/>
      <c r="AA588" s="4"/>
      <c r="AD588" s="20" t="str">
        <f>IF((B588="")+(B588="Vacante")+(D588=""),"",IFERROR(MATCH(D588,{"Oficinas";"Locales";"Estacionamientos";"Bodegas"},0),5)&amp;"|"&amp;B588&amp;"|"&amp;TEXT(G588,"yyyymmdd")&amp;"|"&amp;TEXT(H588,"yyyymmdd"))</f>
        <v>3|CENTRAL PARKIING SYSTEM CHILE|-|20260228</v>
      </c>
      <c r="AE588" s="4"/>
      <c r="AF588" s="4"/>
    </row>
    <row r="589" spans="1:32" x14ac:dyDescent="0.2">
      <c r="A589" s="5">
        <v>-8</v>
      </c>
      <c r="B589" s="6" t="s">
        <v>147</v>
      </c>
      <c r="C589" s="6" t="s">
        <v>147</v>
      </c>
      <c r="D589" s="6" t="s">
        <v>10</v>
      </c>
      <c r="E589" s="5">
        <v>8133</v>
      </c>
      <c r="F589" s="6" t="s">
        <v>104</v>
      </c>
      <c r="G589" s="9" t="s">
        <v>9</v>
      </c>
      <c r="H589" s="9">
        <v>46081</v>
      </c>
      <c r="I589" s="6" t="s">
        <v>2</v>
      </c>
      <c r="L589" s="18">
        <v>1</v>
      </c>
      <c r="M589" s="19">
        <v>0.84</v>
      </c>
      <c r="N589" s="18">
        <v>0.84</v>
      </c>
      <c r="T589" s="4"/>
      <c r="U589" s="4"/>
      <c r="V589" s="4"/>
      <c r="W589" s="4"/>
      <c r="X589" s="4"/>
      <c r="Y589" s="4"/>
      <c r="Z589" s="4"/>
      <c r="AA589" s="4"/>
      <c r="AD589" s="20" t="str">
        <f>IF((B589="")+(B589="Vacante")+(D589=""),"",IFERROR(MATCH(D589,{"Oficinas";"Locales";"Estacionamientos";"Bodegas"},0),5)&amp;"|"&amp;B589&amp;"|"&amp;TEXT(G589,"yyyymmdd")&amp;"|"&amp;TEXT(H589,"yyyymmdd"))</f>
        <v>3|CENTRAL PARKIING SYSTEM CHILE|-|20260228</v>
      </c>
      <c r="AE589" s="4"/>
      <c r="AF589" s="4"/>
    </row>
    <row r="590" spans="1:32" x14ac:dyDescent="0.2">
      <c r="A590" s="5">
        <v>-8</v>
      </c>
      <c r="B590" s="6" t="s">
        <v>147</v>
      </c>
      <c r="C590" s="6" t="s">
        <v>147</v>
      </c>
      <c r="D590" s="6" t="s">
        <v>10</v>
      </c>
      <c r="E590" s="5">
        <v>8134</v>
      </c>
      <c r="F590" s="6" t="s">
        <v>104</v>
      </c>
      <c r="G590" s="9" t="s">
        <v>9</v>
      </c>
      <c r="H590" s="9">
        <v>46081</v>
      </c>
      <c r="I590" s="6" t="s">
        <v>2</v>
      </c>
      <c r="L590" s="18">
        <v>1</v>
      </c>
      <c r="M590" s="19">
        <v>0.84</v>
      </c>
      <c r="N590" s="18">
        <v>0.84</v>
      </c>
      <c r="T590" s="4"/>
      <c r="U590" s="4"/>
      <c r="V590" s="4"/>
      <c r="W590" s="4"/>
      <c r="X590" s="4"/>
      <c r="Y590" s="4"/>
      <c r="Z590" s="4"/>
      <c r="AA590" s="4"/>
      <c r="AD590" s="20" t="str">
        <f>IF((B590="")+(B590="Vacante")+(D590=""),"",IFERROR(MATCH(D590,{"Oficinas";"Locales";"Estacionamientos";"Bodegas"},0),5)&amp;"|"&amp;B590&amp;"|"&amp;TEXT(G590,"yyyymmdd")&amp;"|"&amp;TEXT(H590,"yyyymmdd"))</f>
        <v>3|CENTRAL PARKIING SYSTEM CHILE|-|20260228</v>
      </c>
      <c r="AE590" s="4"/>
      <c r="AF590" s="4"/>
    </row>
    <row r="591" spans="1:32" x14ac:dyDescent="0.2">
      <c r="A591" s="5">
        <v>-8</v>
      </c>
      <c r="B591" s="6" t="s">
        <v>147</v>
      </c>
      <c r="C591" s="6" t="s">
        <v>147</v>
      </c>
      <c r="D591" s="6" t="s">
        <v>10</v>
      </c>
      <c r="E591" s="5">
        <v>8135</v>
      </c>
      <c r="F591" s="6" t="s">
        <v>104</v>
      </c>
      <c r="G591" s="9" t="s">
        <v>9</v>
      </c>
      <c r="H591" s="9">
        <v>46081</v>
      </c>
      <c r="I591" s="6" t="s">
        <v>2</v>
      </c>
      <c r="L591" s="18">
        <v>1</v>
      </c>
      <c r="M591" s="19">
        <v>0.84</v>
      </c>
      <c r="N591" s="18">
        <v>0.84</v>
      </c>
      <c r="T591" s="4"/>
      <c r="U591" s="4"/>
      <c r="V591" s="4"/>
      <c r="W591" s="4"/>
      <c r="X591" s="4"/>
      <c r="Y591" s="4"/>
      <c r="Z591" s="4"/>
      <c r="AA591" s="4"/>
      <c r="AD591" s="20" t="str">
        <f>IF((B591="")+(B591="Vacante")+(D591=""),"",IFERROR(MATCH(D591,{"Oficinas";"Locales";"Estacionamientos";"Bodegas"},0),5)&amp;"|"&amp;B591&amp;"|"&amp;TEXT(G591,"yyyymmdd")&amp;"|"&amp;TEXT(H591,"yyyymmdd"))</f>
        <v>3|CENTRAL PARKIING SYSTEM CHILE|-|20260228</v>
      </c>
      <c r="AE591" s="4"/>
      <c r="AF591" s="4"/>
    </row>
    <row r="592" spans="1:32" x14ac:dyDescent="0.2">
      <c r="A592" s="5">
        <v>-8</v>
      </c>
      <c r="B592" s="6" t="s">
        <v>147</v>
      </c>
      <c r="C592" s="6" t="s">
        <v>147</v>
      </c>
      <c r="D592" s="6" t="s">
        <v>10</v>
      </c>
      <c r="E592" s="5">
        <v>8136</v>
      </c>
      <c r="G592" s="9" t="s">
        <v>9</v>
      </c>
      <c r="H592" s="9">
        <v>46081</v>
      </c>
      <c r="I592" s="6" t="s">
        <v>2</v>
      </c>
      <c r="L592" s="18">
        <v>1</v>
      </c>
      <c r="M592" s="19">
        <v>0.84</v>
      </c>
      <c r="N592" s="18">
        <v>0.84</v>
      </c>
      <c r="T592" s="4"/>
      <c r="U592" s="4"/>
      <c r="V592" s="4"/>
      <c r="W592" s="4"/>
      <c r="X592" s="4"/>
      <c r="Y592" s="4"/>
      <c r="Z592" s="4"/>
      <c r="AA592" s="4"/>
      <c r="AD592" s="20" t="str">
        <f>IF((B592="")+(B592="Vacante")+(D592=""),"",IFERROR(MATCH(D592,{"Oficinas";"Locales";"Estacionamientos";"Bodegas"},0),5)&amp;"|"&amp;B592&amp;"|"&amp;TEXT(G592,"yyyymmdd")&amp;"|"&amp;TEXT(H592,"yyyymmdd"))</f>
        <v>3|CENTRAL PARKIING SYSTEM CHILE|-|20260228</v>
      </c>
      <c r="AE592" s="4"/>
      <c r="AF592" s="4"/>
    </row>
    <row r="593" spans="1:32" x14ac:dyDescent="0.2">
      <c r="A593" s="5">
        <v>-8</v>
      </c>
      <c r="B593" s="6" t="s">
        <v>147</v>
      </c>
      <c r="C593" s="6" t="s">
        <v>147</v>
      </c>
      <c r="D593" s="6" t="s">
        <v>10</v>
      </c>
      <c r="E593" s="5">
        <v>8137</v>
      </c>
      <c r="G593" s="9" t="s">
        <v>9</v>
      </c>
      <c r="H593" s="9">
        <v>46081</v>
      </c>
      <c r="I593" s="6" t="s">
        <v>2</v>
      </c>
      <c r="L593" s="18">
        <v>1</v>
      </c>
      <c r="M593" s="19">
        <v>0.84</v>
      </c>
      <c r="N593" s="18">
        <v>0.84</v>
      </c>
      <c r="T593" s="4"/>
      <c r="U593" s="4"/>
      <c r="V593" s="4"/>
      <c r="W593" s="4"/>
      <c r="X593" s="4"/>
      <c r="Y593" s="4"/>
      <c r="Z593" s="4"/>
      <c r="AA593" s="4"/>
      <c r="AD593" s="20" t="str">
        <f>IF((B593="")+(B593="Vacante")+(D593=""),"",IFERROR(MATCH(D593,{"Oficinas";"Locales";"Estacionamientos";"Bodegas"},0),5)&amp;"|"&amp;B593&amp;"|"&amp;TEXT(G593,"yyyymmdd")&amp;"|"&amp;TEXT(H593,"yyyymmdd"))</f>
        <v>3|CENTRAL PARKIING SYSTEM CHILE|-|20260228</v>
      </c>
      <c r="AE593" s="4"/>
      <c r="AF593" s="4"/>
    </row>
    <row r="594" spans="1:32" x14ac:dyDescent="0.2">
      <c r="A594" s="5">
        <v>-8</v>
      </c>
      <c r="B594" s="6" t="s">
        <v>147</v>
      </c>
      <c r="C594" s="6" t="s">
        <v>147</v>
      </c>
      <c r="D594" s="6" t="s">
        <v>10</v>
      </c>
      <c r="E594" s="5">
        <v>8138</v>
      </c>
      <c r="G594" s="9" t="s">
        <v>9</v>
      </c>
      <c r="H594" s="9">
        <v>46081</v>
      </c>
      <c r="I594" s="6" t="s">
        <v>2</v>
      </c>
      <c r="L594" s="18">
        <v>1</v>
      </c>
      <c r="M594" s="19">
        <v>0.84</v>
      </c>
      <c r="N594" s="18">
        <v>0.84</v>
      </c>
      <c r="T594" s="4"/>
      <c r="U594" s="4"/>
      <c r="V594" s="4"/>
      <c r="W594" s="4"/>
      <c r="X594" s="4"/>
      <c r="Y594" s="4"/>
      <c r="Z594" s="4"/>
      <c r="AA594" s="4"/>
      <c r="AD594" s="20" t="str">
        <f>IF((B594="")+(B594="Vacante")+(D594=""),"",IFERROR(MATCH(D594,{"Oficinas";"Locales";"Estacionamientos";"Bodegas"},0),5)&amp;"|"&amp;B594&amp;"|"&amp;TEXT(G594,"yyyymmdd")&amp;"|"&amp;TEXT(H594,"yyyymmdd"))</f>
        <v>3|CENTRAL PARKIING SYSTEM CHILE|-|20260228</v>
      </c>
      <c r="AE594" s="4"/>
      <c r="AF594" s="4"/>
    </row>
    <row r="595" spans="1:32" x14ac:dyDescent="0.2">
      <c r="A595" s="5">
        <v>-8</v>
      </c>
      <c r="B595" s="6" t="s">
        <v>147</v>
      </c>
      <c r="C595" s="6" t="s">
        <v>147</v>
      </c>
      <c r="D595" s="6" t="s">
        <v>10</v>
      </c>
      <c r="E595" s="5">
        <v>8139</v>
      </c>
      <c r="G595" s="9" t="s">
        <v>9</v>
      </c>
      <c r="H595" s="9">
        <v>46081</v>
      </c>
      <c r="I595" s="6" t="s">
        <v>2</v>
      </c>
      <c r="L595" s="18">
        <v>1</v>
      </c>
      <c r="M595" s="19">
        <v>0.84</v>
      </c>
      <c r="N595" s="18">
        <v>0.84</v>
      </c>
      <c r="T595" s="4"/>
      <c r="U595" s="4"/>
      <c r="V595" s="4"/>
      <c r="W595" s="4"/>
      <c r="X595" s="4"/>
      <c r="Y595" s="4"/>
      <c r="Z595" s="4"/>
      <c r="AA595" s="4"/>
      <c r="AD595" s="20" t="str">
        <f>IF((B595="")+(B595="Vacante")+(D595=""),"",IFERROR(MATCH(D595,{"Oficinas";"Locales";"Estacionamientos";"Bodegas"},0),5)&amp;"|"&amp;B595&amp;"|"&amp;TEXT(G595,"yyyymmdd")&amp;"|"&amp;TEXT(H595,"yyyymmdd"))</f>
        <v>3|CENTRAL PARKIING SYSTEM CHILE|-|20260228</v>
      </c>
      <c r="AE595" s="4"/>
      <c r="AF595" s="4"/>
    </row>
    <row r="596" spans="1:32" x14ac:dyDescent="0.2">
      <c r="A596" s="5">
        <v>-8</v>
      </c>
      <c r="B596" s="6" t="s">
        <v>147</v>
      </c>
      <c r="C596" s="6" t="s">
        <v>147</v>
      </c>
      <c r="D596" s="6" t="s">
        <v>10</v>
      </c>
      <c r="E596" s="5">
        <v>8140</v>
      </c>
      <c r="G596" s="9" t="s">
        <v>9</v>
      </c>
      <c r="H596" s="9">
        <v>46081</v>
      </c>
      <c r="I596" s="6" t="s">
        <v>2</v>
      </c>
      <c r="L596" s="18">
        <v>1</v>
      </c>
      <c r="M596" s="19">
        <v>0.84</v>
      </c>
      <c r="N596" s="18">
        <v>0.84</v>
      </c>
      <c r="T596" s="4"/>
      <c r="U596" s="4"/>
      <c r="V596" s="4"/>
      <c r="W596" s="4"/>
      <c r="X596" s="4"/>
      <c r="Y596" s="4"/>
      <c r="Z596" s="4"/>
      <c r="AA596" s="4"/>
      <c r="AD596" s="20" t="str">
        <f>IF((B596="")+(B596="Vacante")+(D596=""),"",IFERROR(MATCH(D596,{"Oficinas";"Locales";"Estacionamientos";"Bodegas"},0),5)&amp;"|"&amp;B596&amp;"|"&amp;TEXT(G596,"yyyymmdd")&amp;"|"&amp;TEXT(H596,"yyyymmdd"))</f>
        <v>3|CENTRAL PARKIING SYSTEM CHILE|-|20260228</v>
      </c>
      <c r="AE596" s="4"/>
      <c r="AF596" s="4"/>
    </row>
    <row r="597" spans="1:32" x14ac:dyDescent="0.2">
      <c r="A597" s="5">
        <v>-9</v>
      </c>
      <c r="B597" s="6" t="s">
        <v>4</v>
      </c>
      <c r="C597" s="6" t="s">
        <v>4</v>
      </c>
      <c r="D597" s="6" t="s">
        <v>8</v>
      </c>
      <c r="E597" s="5">
        <v>902</v>
      </c>
      <c r="G597" s="9" t="s">
        <v>9</v>
      </c>
      <c r="H597" s="9" t="s">
        <v>9</v>
      </c>
      <c r="I597" s="6" t="s">
        <v>2</v>
      </c>
      <c r="L597" s="18">
        <v>12.3</v>
      </c>
      <c r="M597" s="19">
        <v>0</v>
      </c>
      <c r="N597" s="18">
        <v>0</v>
      </c>
      <c r="T597" s="4"/>
      <c r="U597" s="4"/>
      <c r="V597" s="4"/>
      <c r="W597" s="4"/>
      <c r="X597" s="4"/>
      <c r="Y597" s="4"/>
      <c r="Z597" s="4"/>
      <c r="AA597" s="4"/>
      <c r="AD597" s="20" t="str">
        <f>IF((B597="")+(B597="Vacante")+(D597=""),"",IFERROR(MATCH(D597,{"Oficinas";"Locales";"Estacionamientos";"Bodegas"},0),5)&amp;"|"&amp;B597&amp;"|"&amp;TEXT(G597,"yyyymmdd")&amp;"|"&amp;TEXT(H597,"yyyymmdd"))</f>
        <v/>
      </c>
      <c r="AE597" s="4"/>
      <c r="AF597" s="4"/>
    </row>
    <row r="598" spans="1:32" x14ac:dyDescent="0.2">
      <c r="A598" s="5">
        <v>-9</v>
      </c>
      <c r="B598" s="6" t="s">
        <v>4</v>
      </c>
      <c r="C598" s="6" t="s">
        <v>4</v>
      </c>
      <c r="D598" s="6" t="s">
        <v>8</v>
      </c>
      <c r="E598" s="5">
        <v>903</v>
      </c>
      <c r="G598" s="9" t="s">
        <v>9</v>
      </c>
      <c r="H598" s="9" t="s">
        <v>9</v>
      </c>
      <c r="I598" s="6" t="s">
        <v>2</v>
      </c>
      <c r="L598" s="18">
        <v>14.35</v>
      </c>
      <c r="M598" s="19">
        <v>0</v>
      </c>
      <c r="N598" s="18">
        <v>0</v>
      </c>
      <c r="T598" s="4"/>
      <c r="U598" s="4"/>
      <c r="V598" s="4"/>
      <c r="W598" s="4"/>
      <c r="X598" s="4"/>
      <c r="Y598" s="4"/>
      <c r="Z598" s="4"/>
      <c r="AA598" s="4"/>
      <c r="AD598" s="20" t="str">
        <f>IF((B598="")+(B598="Vacante")+(D598=""),"",IFERROR(MATCH(D598,{"Oficinas";"Locales";"Estacionamientos";"Bodegas"},0),5)&amp;"|"&amp;B598&amp;"|"&amp;TEXT(G598,"yyyymmdd")&amp;"|"&amp;TEXT(H598,"yyyymmdd"))</f>
        <v/>
      </c>
      <c r="AE598" s="4"/>
      <c r="AF598" s="4"/>
    </row>
    <row r="599" spans="1:32" x14ac:dyDescent="0.2">
      <c r="A599" s="5">
        <v>-9</v>
      </c>
      <c r="B599" s="6" t="s">
        <v>4</v>
      </c>
      <c r="C599" s="6" t="s">
        <v>4</v>
      </c>
      <c r="D599" s="6" t="s">
        <v>8</v>
      </c>
      <c r="E599" s="5">
        <v>904</v>
      </c>
      <c r="G599" s="9" t="s">
        <v>9</v>
      </c>
      <c r="H599" s="9" t="s">
        <v>9</v>
      </c>
      <c r="I599" s="6" t="s">
        <v>2</v>
      </c>
      <c r="L599" s="18">
        <v>9.82</v>
      </c>
      <c r="M599" s="19">
        <v>0</v>
      </c>
      <c r="N599" s="18">
        <v>0</v>
      </c>
      <c r="T599" s="4"/>
      <c r="U599" s="4"/>
      <c r="V599" s="4"/>
      <c r="W599" s="4"/>
      <c r="X599" s="4"/>
      <c r="Y599" s="4"/>
      <c r="Z599" s="4"/>
      <c r="AA599" s="4"/>
      <c r="AD599" s="20" t="str">
        <f>IF((B599="")+(B599="Vacante")+(D599=""),"",IFERROR(MATCH(D599,{"Oficinas";"Locales";"Estacionamientos";"Bodegas"},0),5)&amp;"|"&amp;B599&amp;"|"&amp;TEXT(G599,"yyyymmdd")&amp;"|"&amp;TEXT(H599,"yyyymmdd"))</f>
        <v/>
      </c>
      <c r="AE599" s="4"/>
      <c r="AF599" s="4"/>
    </row>
    <row r="600" spans="1:32" x14ac:dyDescent="0.2">
      <c r="A600" s="5">
        <v>-9</v>
      </c>
      <c r="B600" s="6" t="s">
        <v>4</v>
      </c>
      <c r="C600" s="6" t="s">
        <v>4</v>
      </c>
      <c r="D600" s="6" t="s">
        <v>8</v>
      </c>
      <c r="E600" s="5">
        <v>905</v>
      </c>
      <c r="G600" s="9" t="s">
        <v>9</v>
      </c>
      <c r="H600" s="9" t="s">
        <v>9</v>
      </c>
      <c r="I600" s="6" t="s">
        <v>2</v>
      </c>
      <c r="L600" s="18">
        <v>9.2799999999999994</v>
      </c>
      <c r="M600" s="19">
        <v>0</v>
      </c>
      <c r="N600" s="18">
        <v>0</v>
      </c>
      <c r="T600" s="4"/>
      <c r="U600" s="4"/>
      <c r="V600" s="4"/>
      <c r="W600" s="4"/>
      <c r="X600" s="4"/>
      <c r="Y600" s="4"/>
      <c r="Z600" s="4"/>
      <c r="AA600" s="4"/>
      <c r="AD600" s="20" t="str">
        <f>IF((B600="")+(B600="Vacante")+(D600=""),"",IFERROR(MATCH(D600,{"Oficinas";"Locales";"Estacionamientos";"Bodegas"},0),5)&amp;"|"&amp;B600&amp;"|"&amp;TEXT(G600,"yyyymmdd")&amp;"|"&amp;TEXT(H600,"yyyymmdd"))</f>
        <v/>
      </c>
      <c r="AE600" s="4"/>
      <c r="AF600" s="4"/>
    </row>
    <row r="601" spans="1:32" x14ac:dyDescent="0.2">
      <c r="A601" s="5">
        <v>-9</v>
      </c>
      <c r="B601" s="6" t="s">
        <v>4</v>
      </c>
      <c r="C601" s="6" t="s">
        <v>4</v>
      </c>
      <c r="D601" s="6" t="s">
        <v>8</v>
      </c>
      <c r="E601" s="5">
        <v>906</v>
      </c>
      <c r="G601" s="9" t="s">
        <v>9</v>
      </c>
      <c r="H601" s="9" t="s">
        <v>9</v>
      </c>
      <c r="I601" s="6" t="s">
        <v>2</v>
      </c>
      <c r="L601" s="18">
        <v>8.5299999999999994</v>
      </c>
      <c r="M601" s="19">
        <v>0</v>
      </c>
      <c r="N601" s="18">
        <v>0</v>
      </c>
      <c r="T601" s="4"/>
      <c r="U601" s="4"/>
      <c r="V601" s="4"/>
      <c r="W601" s="4"/>
      <c r="X601" s="4"/>
      <c r="Y601" s="4"/>
      <c r="Z601" s="4"/>
      <c r="AA601" s="4"/>
      <c r="AD601" s="20" t="str">
        <f>IF((B601="")+(B601="Vacante")+(D601=""),"",IFERROR(MATCH(D601,{"Oficinas";"Locales";"Estacionamientos";"Bodegas"},0),5)&amp;"|"&amp;B601&amp;"|"&amp;TEXT(G601,"yyyymmdd")&amp;"|"&amp;TEXT(H601,"yyyymmdd"))</f>
        <v/>
      </c>
      <c r="AE601" s="4"/>
      <c r="AF601" s="4"/>
    </row>
    <row r="602" spans="1:32" x14ac:dyDescent="0.2">
      <c r="A602" s="5">
        <v>-9</v>
      </c>
      <c r="B602" s="6" t="s">
        <v>4</v>
      </c>
      <c r="C602" s="6" t="s">
        <v>4</v>
      </c>
      <c r="D602" s="6" t="s">
        <v>8</v>
      </c>
      <c r="E602" s="5">
        <v>907</v>
      </c>
      <c r="G602" s="9" t="s">
        <v>9</v>
      </c>
      <c r="H602" s="9" t="s">
        <v>9</v>
      </c>
      <c r="I602" s="6" t="s">
        <v>2</v>
      </c>
      <c r="L602" s="18">
        <v>9.5299999999999994</v>
      </c>
      <c r="M602" s="19">
        <v>0</v>
      </c>
      <c r="N602" s="18">
        <v>0</v>
      </c>
      <c r="T602" s="4"/>
      <c r="U602" s="4"/>
      <c r="V602" s="4"/>
      <c r="W602" s="4"/>
      <c r="X602" s="4"/>
      <c r="Y602" s="4"/>
      <c r="Z602" s="4"/>
      <c r="AA602" s="4"/>
      <c r="AD602" s="20" t="str">
        <f>IF((B602="")+(B602="Vacante")+(D602=""),"",IFERROR(MATCH(D602,{"Oficinas";"Locales";"Estacionamientos";"Bodegas"},0),5)&amp;"|"&amp;B602&amp;"|"&amp;TEXT(G602,"yyyymmdd")&amp;"|"&amp;TEXT(H602,"yyyymmdd"))</f>
        <v/>
      </c>
      <c r="AE602" s="4"/>
      <c r="AF602" s="4"/>
    </row>
    <row r="603" spans="1:32" x14ac:dyDescent="0.2">
      <c r="A603" s="5">
        <v>-9</v>
      </c>
      <c r="B603" s="6" t="s">
        <v>202</v>
      </c>
      <c r="C603" s="6" t="s">
        <v>123</v>
      </c>
      <c r="D603" s="6" t="s">
        <v>8</v>
      </c>
      <c r="E603" s="5">
        <v>908</v>
      </c>
      <c r="G603" s="9" t="s">
        <v>9</v>
      </c>
      <c r="H603" s="9">
        <v>47118</v>
      </c>
      <c r="I603" s="6" t="s">
        <v>2</v>
      </c>
      <c r="L603" s="18">
        <v>9.9700000000000006</v>
      </c>
      <c r="M603" s="19">
        <v>0.3</v>
      </c>
      <c r="N603" s="18">
        <v>2.9910000000000001</v>
      </c>
      <c r="T603" s="4"/>
      <c r="U603" s="4"/>
      <c r="V603" s="4"/>
      <c r="W603" s="4"/>
      <c r="X603" s="4"/>
      <c r="Y603" s="4"/>
      <c r="Z603" s="4"/>
      <c r="AA603" s="4"/>
      <c r="AD603" s="20" t="str">
        <f>IF((B603="")+(B603="Vacante")+(D603=""),"",IFERROR(MATCH(D603,{"Oficinas";"Locales";"Estacionamientos";"Bodegas"},0),5)&amp;"|"&amp;B603&amp;"|"&amp;TEXT(G603,"yyyymmdd")&amp;"|"&amp;TEXT(H603,"yyyymmdd"))</f>
        <v>4|CASA DEL HABANO|-|20281231</v>
      </c>
      <c r="AE603" s="4"/>
      <c r="AF603" s="4"/>
    </row>
    <row r="604" spans="1:32" x14ac:dyDescent="0.2">
      <c r="A604" s="5">
        <v>-9</v>
      </c>
      <c r="B604" s="6" t="s">
        <v>202</v>
      </c>
      <c r="C604" s="6" t="s">
        <v>123</v>
      </c>
      <c r="D604" s="6" t="s">
        <v>8</v>
      </c>
      <c r="E604" s="5">
        <v>909</v>
      </c>
      <c r="G604" s="9" t="s">
        <v>9</v>
      </c>
      <c r="H604" s="9">
        <v>47118</v>
      </c>
      <c r="I604" s="6" t="s">
        <v>2</v>
      </c>
      <c r="L604" s="18">
        <v>8.93</v>
      </c>
      <c r="M604" s="19">
        <v>0.3</v>
      </c>
      <c r="N604" s="18">
        <v>2.6789999999999998</v>
      </c>
      <c r="T604" s="4"/>
      <c r="U604" s="4"/>
      <c r="V604" s="4"/>
      <c r="W604" s="4"/>
      <c r="X604" s="4"/>
      <c r="Y604" s="4"/>
      <c r="Z604" s="4"/>
      <c r="AA604" s="4"/>
      <c r="AD604" s="20" t="str">
        <f>IF((B604="")+(B604="Vacante")+(D604=""),"",IFERROR(MATCH(D604,{"Oficinas";"Locales";"Estacionamientos";"Bodegas"},0),5)&amp;"|"&amp;B604&amp;"|"&amp;TEXT(G604,"yyyymmdd")&amp;"|"&amp;TEXT(H604,"yyyymmdd"))</f>
        <v>4|CASA DEL HABANO|-|20281231</v>
      </c>
      <c r="AE604" s="4"/>
      <c r="AF604" s="4"/>
    </row>
    <row r="605" spans="1:32" x14ac:dyDescent="0.2">
      <c r="A605" s="5">
        <v>-9</v>
      </c>
      <c r="B605" s="6" t="s">
        <v>202</v>
      </c>
      <c r="C605" s="6" t="s">
        <v>123</v>
      </c>
      <c r="D605" s="6" t="s">
        <v>8</v>
      </c>
      <c r="E605" s="5">
        <v>910</v>
      </c>
      <c r="G605" s="9" t="s">
        <v>9</v>
      </c>
      <c r="H605" s="9">
        <v>47118</v>
      </c>
      <c r="I605" s="6" t="s">
        <v>2</v>
      </c>
      <c r="L605" s="18">
        <v>12.91</v>
      </c>
      <c r="M605" s="19">
        <v>0.3</v>
      </c>
      <c r="N605" s="18">
        <v>3.8729999999999998</v>
      </c>
      <c r="T605" s="4"/>
      <c r="U605" s="4"/>
      <c r="V605" s="4"/>
      <c r="W605" s="4"/>
      <c r="X605" s="4"/>
      <c r="Y605" s="4"/>
      <c r="Z605" s="4"/>
      <c r="AA605" s="4"/>
      <c r="AD605" s="20" t="str">
        <f>IF((B605="")+(B605="Vacante")+(D605=""),"",IFERROR(MATCH(D605,{"Oficinas";"Locales";"Estacionamientos";"Bodegas"},0),5)&amp;"|"&amp;B605&amp;"|"&amp;TEXT(G605,"yyyymmdd")&amp;"|"&amp;TEXT(H605,"yyyymmdd"))</f>
        <v>4|CASA DEL HABANO|-|20281231</v>
      </c>
      <c r="AE605" s="4"/>
      <c r="AF605" s="4"/>
    </row>
    <row r="606" spans="1:32" x14ac:dyDescent="0.2">
      <c r="A606" s="5">
        <v>-9</v>
      </c>
      <c r="B606" s="6" t="s">
        <v>4</v>
      </c>
      <c r="C606" s="6" t="s">
        <v>4</v>
      </c>
      <c r="D606" s="6" t="s">
        <v>8</v>
      </c>
      <c r="E606" s="5">
        <v>911</v>
      </c>
      <c r="G606" s="9" t="s">
        <v>9</v>
      </c>
      <c r="H606" s="9" t="s">
        <v>9</v>
      </c>
      <c r="I606" s="6" t="s">
        <v>2</v>
      </c>
      <c r="L606" s="18">
        <v>30.03</v>
      </c>
      <c r="M606" s="19">
        <v>0</v>
      </c>
      <c r="N606" s="18">
        <v>0</v>
      </c>
      <c r="T606" s="4"/>
      <c r="U606" s="4"/>
      <c r="V606" s="4"/>
      <c r="W606" s="4"/>
      <c r="X606" s="4"/>
      <c r="Y606" s="4"/>
      <c r="Z606" s="4"/>
      <c r="AA606" s="4"/>
      <c r="AD606" s="20" t="str">
        <f>IF((B606="")+(B606="Vacante")+(D606=""),"",IFERROR(MATCH(D606,{"Oficinas";"Locales";"Estacionamientos";"Bodegas"},0),5)&amp;"|"&amp;B606&amp;"|"&amp;TEXT(G606,"yyyymmdd")&amp;"|"&amp;TEXT(H606,"yyyymmdd"))</f>
        <v/>
      </c>
      <c r="AE606" s="4"/>
      <c r="AF606" s="4"/>
    </row>
    <row r="607" spans="1:32" x14ac:dyDescent="0.2">
      <c r="A607" s="5">
        <v>-9</v>
      </c>
      <c r="B607" s="6" t="s">
        <v>4</v>
      </c>
      <c r="C607" s="6" t="s">
        <v>4</v>
      </c>
      <c r="D607" s="6" t="s">
        <v>8</v>
      </c>
      <c r="E607" s="5">
        <v>912</v>
      </c>
      <c r="F607" s="6" t="s">
        <v>156</v>
      </c>
      <c r="G607" s="9" t="s">
        <v>9</v>
      </c>
      <c r="H607" s="9" t="s">
        <v>9</v>
      </c>
      <c r="I607" s="6" t="s">
        <v>2</v>
      </c>
      <c r="L607" s="18">
        <v>14.67</v>
      </c>
      <c r="M607" s="19">
        <v>0</v>
      </c>
      <c r="N607" s="18">
        <v>0</v>
      </c>
      <c r="T607" s="4"/>
      <c r="U607" s="4"/>
      <c r="V607" s="4"/>
      <c r="W607" s="4"/>
      <c r="X607" s="4"/>
      <c r="Y607" s="4"/>
      <c r="Z607" s="4"/>
      <c r="AA607" s="4"/>
      <c r="AD607" s="20" t="str">
        <f>IF((B607="")+(B607="Vacante")+(D607=""),"",IFERROR(MATCH(D607,{"Oficinas";"Locales";"Estacionamientos";"Bodegas"},0),5)&amp;"|"&amp;B607&amp;"|"&amp;TEXT(G607,"yyyymmdd")&amp;"|"&amp;TEXT(H607,"yyyymmdd"))</f>
        <v/>
      </c>
      <c r="AE607" s="4"/>
      <c r="AF607" s="4"/>
    </row>
    <row r="608" spans="1:32" x14ac:dyDescent="0.2">
      <c r="A608" s="5">
        <v>-9</v>
      </c>
      <c r="B608" s="6" t="s">
        <v>205</v>
      </c>
      <c r="C608" s="6" t="s">
        <v>67</v>
      </c>
      <c r="D608" s="6" t="s">
        <v>8</v>
      </c>
      <c r="E608" s="5">
        <v>913</v>
      </c>
      <c r="F608" s="6" t="s">
        <v>157</v>
      </c>
      <c r="G608" s="9" t="s">
        <v>9</v>
      </c>
      <c r="H608" s="9">
        <v>48121</v>
      </c>
      <c r="I608" s="6" t="s">
        <v>2</v>
      </c>
      <c r="L608" s="18">
        <v>9.65</v>
      </c>
      <c r="M608" s="19">
        <v>0.3</v>
      </c>
      <c r="N608" s="18">
        <v>2.895</v>
      </c>
      <c r="T608" s="4"/>
      <c r="U608" s="4"/>
      <c r="V608" s="4"/>
      <c r="W608" s="4"/>
      <c r="X608" s="4"/>
      <c r="Y608" s="4"/>
      <c r="Z608" s="4"/>
      <c r="AA608" s="4"/>
      <c r="AD608" s="20" t="str">
        <f>IF((B608="")+(B608="Vacante")+(D608=""),"",IFERROR(MATCH(D608,{"Oficinas";"Locales";"Estacionamientos";"Bodegas"},0),5)&amp;"|"&amp;B608&amp;"|"&amp;TEXT(G608,"yyyymmdd")&amp;"|"&amp;TEXT(H608,"yyyymmdd"))</f>
        <v>4|TENGU|-|20310930</v>
      </c>
      <c r="AE608" s="4"/>
      <c r="AF608" s="4"/>
    </row>
    <row r="609" spans="1:32" x14ac:dyDescent="0.2">
      <c r="A609" s="5">
        <v>-9</v>
      </c>
      <c r="B609" s="6" t="s">
        <v>4</v>
      </c>
      <c r="C609" s="6" t="s">
        <v>4</v>
      </c>
      <c r="D609" s="6" t="s">
        <v>8</v>
      </c>
      <c r="E609" s="5">
        <v>914</v>
      </c>
      <c r="F609" s="6" t="s">
        <v>158</v>
      </c>
      <c r="G609" s="9" t="s">
        <v>9</v>
      </c>
      <c r="H609" s="9" t="s">
        <v>9</v>
      </c>
      <c r="I609" s="6" t="s">
        <v>2</v>
      </c>
      <c r="L609" s="18">
        <v>8.86</v>
      </c>
      <c r="M609" s="19">
        <v>0</v>
      </c>
      <c r="N609" s="18">
        <v>0</v>
      </c>
      <c r="T609" s="4"/>
      <c r="U609" s="4"/>
      <c r="V609" s="4"/>
      <c r="W609" s="4"/>
      <c r="X609" s="4"/>
      <c r="Y609" s="4"/>
      <c r="Z609" s="4"/>
      <c r="AA609" s="4"/>
      <c r="AD609" s="20" t="str">
        <f>IF((B609="")+(B609="Vacante")+(D609=""),"",IFERROR(MATCH(D609,{"Oficinas";"Locales";"Estacionamientos";"Bodegas"},0),5)&amp;"|"&amp;B609&amp;"|"&amp;TEXT(G609,"yyyymmdd")&amp;"|"&amp;TEXT(H609,"yyyymmdd"))</f>
        <v/>
      </c>
      <c r="AE609" s="4"/>
      <c r="AF609" s="4"/>
    </row>
    <row r="610" spans="1:32" x14ac:dyDescent="0.2">
      <c r="A610" s="5">
        <v>-9</v>
      </c>
      <c r="B610" s="6" t="s">
        <v>4</v>
      </c>
      <c r="C610" s="6" t="s">
        <v>4</v>
      </c>
      <c r="D610" s="6" t="s">
        <v>8</v>
      </c>
      <c r="E610" s="5">
        <v>915</v>
      </c>
      <c r="F610" s="6" t="s">
        <v>159</v>
      </c>
      <c r="G610" s="9" t="s">
        <v>9</v>
      </c>
      <c r="H610" s="9" t="s">
        <v>9</v>
      </c>
      <c r="I610" s="6" t="s">
        <v>2</v>
      </c>
      <c r="L610" s="18">
        <v>5.46</v>
      </c>
      <c r="M610" s="19">
        <v>0</v>
      </c>
      <c r="N610" s="18">
        <v>0</v>
      </c>
      <c r="T610" s="4"/>
      <c r="U610" s="4"/>
      <c r="V610" s="4"/>
      <c r="W610" s="4"/>
      <c r="X610" s="4"/>
      <c r="Y610" s="4"/>
      <c r="Z610" s="4"/>
      <c r="AA610" s="4"/>
      <c r="AD610" s="20" t="str">
        <f>IF((B610="")+(B610="Vacante")+(D610=""),"",IFERROR(MATCH(D610,{"Oficinas";"Locales";"Estacionamientos";"Bodegas"},0),5)&amp;"|"&amp;B610&amp;"|"&amp;TEXT(G610,"yyyymmdd")&amp;"|"&amp;TEXT(H610,"yyyymmdd"))</f>
        <v/>
      </c>
      <c r="AE610" s="4"/>
      <c r="AF610" s="4"/>
    </row>
    <row r="611" spans="1:32" x14ac:dyDescent="0.2">
      <c r="A611" s="5">
        <v>-9</v>
      </c>
      <c r="B611" s="6" t="s">
        <v>4</v>
      </c>
      <c r="C611" s="6" t="s">
        <v>4</v>
      </c>
      <c r="D611" s="6" t="s">
        <v>8</v>
      </c>
      <c r="E611" s="5">
        <v>916</v>
      </c>
      <c r="F611" s="6" t="s">
        <v>160</v>
      </c>
      <c r="G611" s="9" t="s">
        <v>9</v>
      </c>
      <c r="H611" s="9" t="s">
        <v>9</v>
      </c>
      <c r="I611" s="6" t="s">
        <v>2</v>
      </c>
      <c r="L611" s="18">
        <v>4.97</v>
      </c>
      <c r="M611" s="19">
        <v>0</v>
      </c>
      <c r="N611" s="18">
        <v>0</v>
      </c>
      <c r="T611" s="4"/>
      <c r="U611" s="4"/>
      <c r="V611" s="4"/>
      <c r="W611" s="4"/>
      <c r="X611" s="4"/>
      <c r="Y611" s="4"/>
      <c r="Z611" s="4"/>
      <c r="AA611" s="4"/>
      <c r="AD611" s="20" t="str">
        <f>IF((B611="")+(B611="Vacante")+(D611=""),"",IFERROR(MATCH(D611,{"Oficinas";"Locales";"Estacionamientos";"Bodegas"},0),5)&amp;"|"&amp;B611&amp;"|"&amp;TEXT(G611,"yyyymmdd")&amp;"|"&amp;TEXT(H611,"yyyymmdd"))</f>
        <v/>
      </c>
      <c r="AE611" s="4"/>
      <c r="AF611" s="4"/>
    </row>
    <row r="612" spans="1:32" x14ac:dyDescent="0.2">
      <c r="A612" s="5">
        <v>-9</v>
      </c>
      <c r="B612" s="6" t="s">
        <v>4</v>
      </c>
      <c r="C612" s="6" t="s">
        <v>4</v>
      </c>
      <c r="D612" s="6" t="s">
        <v>8</v>
      </c>
      <c r="E612" s="5">
        <v>917</v>
      </c>
      <c r="F612" s="6" t="s">
        <v>161</v>
      </c>
      <c r="G612" s="9" t="s">
        <v>9</v>
      </c>
      <c r="H612" s="9" t="s">
        <v>9</v>
      </c>
      <c r="I612" s="6" t="s">
        <v>2</v>
      </c>
      <c r="L612" s="18">
        <v>4.68</v>
      </c>
      <c r="M612" s="19">
        <v>0</v>
      </c>
      <c r="N612" s="18">
        <v>0</v>
      </c>
      <c r="T612" s="4"/>
      <c r="U612" s="4"/>
      <c r="V612" s="4"/>
      <c r="W612" s="4"/>
      <c r="X612" s="4"/>
      <c r="Y612" s="4"/>
      <c r="Z612" s="4"/>
      <c r="AA612" s="4"/>
      <c r="AD612" s="20" t="str">
        <f>IF((B612="")+(B612="Vacante")+(D612=""),"",IFERROR(MATCH(D612,{"Oficinas";"Locales";"Estacionamientos";"Bodegas"},0),5)&amp;"|"&amp;B612&amp;"|"&amp;TEXT(G612,"yyyymmdd")&amp;"|"&amp;TEXT(H612,"yyyymmdd"))</f>
        <v/>
      </c>
      <c r="AE612" s="4"/>
      <c r="AF612" s="4"/>
    </row>
    <row r="613" spans="1:32" x14ac:dyDescent="0.2">
      <c r="A613" s="5">
        <v>-9</v>
      </c>
      <c r="B613" s="6" t="s">
        <v>4</v>
      </c>
      <c r="C613" s="6" t="s">
        <v>4</v>
      </c>
      <c r="D613" s="6" t="s">
        <v>8</v>
      </c>
      <c r="E613" s="5">
        <v>918</v>
      </c>
      <c r="F613" s="6" t="s">
        <v>162</v>
      </c>
      <c r="G613" s="9" t="s">
        <v>9</v>
      </c>
      <c r="H613" s="9" t="s">
        <v>9</v>
      </c>
      <c r="I613" s="6" t="s">
        <v>2</v>
      </c>
      <c r="L613" s="18">
        <v>3.81</v>
      </c>
      <c r="M613" s="19">
        <v>0</v>
      </c>
      <c r="N613" s="18">
        <v>0</v>
      </c>
      <c r="T613" s="4"/>
      <c r="U613" s="4"/>
      <c r="V613" s="4"/>
      <c r="W613" s="4"/>
      <c r="X613" s="4"/>
      <c r="Y613" s="4"/>
      <c r="Z613" s="4"/>
      <c r="AA613" s="4"/>
      <c r="AD613" s="20" t="str">
        <f>IF((B613="")+(B613="Vacante")+(D613=""),"",IFERROR(MATCH(D613,{"Oficinas";"Locales";"Estacionamientos";"Bodegas"},0),5)&amp;"|"&amp;B613&amp;"|"&amp;TEXT(G613,"yyyymmdd")&amp;"|"&amp;TEXT(H613,"yyyymmdd"))</f>
        <v/>
      </c>
      <c r="AE613" s="4"/>
      <c r="AF613" s="4"/>
    </row>
    <row r="614" spans="1:32" x14ac:dyDescent="0.2">
      <c r="A614" s="5">
        <v>-9</v>
      </c>
      <c r="B614" s="6" t="s">
        <v>4</v>
      </c>
      <c r="C614" s="6" t="s">
        <v>4</v>
      </c>
      <c r="D614" s="6" t="s">
        <v>8</v>
      </c>
      <c r="E614" s="5">
        <v>919</v>
      </c>
      <c r="G614" s="9" t="s">
        <v>9</v>
      </c>
      <c r="H614" s="9" t="s">
        <v>9</v>
      </c>
      <c r="I614" s="6" t="s">
        <v>2</v>
      </c>
      <c r="L614" s="18">
        <v>10.88</v>
      </c>
      <c r="M614" s="19">
        <v>0</v>
      </c>
      <c r="N614" s="18">
        <v>0</v>
      </c>
      <c r="T614" s="4"/>
      <c r="U614" s="4"/>
      <c r="V614" s="4"/>
      <c r="W614" s="4"/>
      <c r="X614" s="4"/>
      <c r="Y614" s="4"/>
      <c r="Z614" s="4"/>
      <c r="AA614" s="4"/>
      <c r="AD614" s="20" t="str">
        <f>IF((B614="")+(B614="Vacante")+(D614=""),"",IFERROR(MATCH(D614,{"Oficinas";"Locales";"Estacionamientos";"Bodegas"},0),5)&amp;"|"&amp;B614&amp;"|"&amp;TEXT(G614,"yyyymmdd")&amp;"|"&amp;TEXT(H614,"yyyymmdd"))</f>
        <v/>
      </c>
      <c r="AE614" s="4"/>
      <c r="AF614" s="4"/>
    </row>
    <row r="615" spans="1:32" x14ac:dyDescent="0.2">
      <c r="A615" s="5">
        <v>-9</v>
      </c>
      <c r="B615" s="6" t="s">
        <v>4</v>
      </c>
      <c r="C615" s="6" t="s">
        <v>4</v>
      </c>
      <c r="D615" s="6" t="s">
        <v>8</v>
      </c>
      <c r="E615" s="5">
        <v>920</v>
      </c>
      <c r="G615" s="9" t="s">
        <v>9</v>
      </c>
      <c r="H615" s="9" t="s">
        <v>9</v>
      </c>
      <c r="I615" s="6" t="s">
        <v>2</v>
      </c>
      <c r="L615" s="18">
        <v>7.1</v>
      </c>
      <c r="M615" s="19">
        <v>0</v>
      </c>
      <c r="N615" s="18">
        <v>0</v>
      </c>
      <c r="T615" s="4"/>
      <c r="U615" s="4"/>
      <c r="V615" s="4"/>
      <c r="W615" s="4"/>
      <c r="X615" s="4"/>
      <c r="Y615" s="4"/>
      <c r="Z615" s="4"/>
      <c r="AA615" s="4"/>
      <c r="AD615" s="20" t="str">
        <f>IF((B615="")+(B615="Vacante")+(D615=""),"",IFERROR(MATCH(D615,{"Oficinas";"Locales";"Estacionamientos";"Bodegas"},0),5)&amp;"|"&amp;B615&amp;"|"&amp;TEXT(G615,"yyyymmdd")&amp;"|"&amp;TEXT(H615,"yyyymmdd"))</f>
        <v/>
      </c>
      <c r="AE615" s="4"/>
      <c r="AF615" s="4"/>
    </row>
    <row r="616" spans="1:32" x14ac:dyDescent="0.2">
      <c r="A616" s="5">
        <v>-9</v>
      </c>
      <c r="B616" s="6" t="s">
        <v>4</v>
      </c>
      <c r="C616" s="6" t="s">
        <v>4</v>
      </c>
      <c r="D616" s="6" t="s">
        <v>8</v>
      </c>
      <c r="E616" s="5">
        <v>921</v>
      </c>
      <c r="G616" s="9" t="s">
        <v>9</v>
      </c>
      <c r="H616" s="9" t="s">
        <v>9</v>
      </c>
      <c r="I616" s="6" t="s">
        <v>2</v>
      </c>
      <c r="L616" s="18">
        <v>6.94</v>
      </c>
      <c r="M616" s="19">
        <v>0</v>
      </c>
      <c r="N616" s="18">
        <v>0</v>
      </c>
      <c r="T616" s="4"/>
      <c r="U616" s="4"/>
      <c r="V616" s="4"/>
      <c r="W616" s="4"/>
      <c r="X616" s="4"/>
      <c r="Y616" s="4"/>
      <c r="Z616" s="4"/>
      <c r="AA616" s="4"/>
      <c r="AD616" s="20" t="str">
        <f>IF((B616="")+(B616="Vacante")+(D616=""),"",IFERROR(MATCH(D616,{"Oficinas";"Locales";"Estacionamientos";"Bodegas"},0),5)&amp;"|"&amp;B616&amp;"|"&amp;TEXT(G616,"yyyymmdd")&amp;"|"&amp;TEXT(H616,"yyyymmdd"))</f>
        <v/>
      </c>
      <c r="AE616" s="4"/>
      <c r="AF616" s="4"/>
    </row>
    <row r="617" spans="1:32" x14ac:dyDescent="0.2">
      <c r="A617" s="5">
        <v>-9</v>
      </c>
      <c r="B617" s="6" t="s">
        <v>4</v>
      </c>
      <c r="C617" s="6" t="s">
        <v>4</v>
      </c>
      <c r="D617" s="6" t="s">
        <v>8</v>
      </c>
      <c r="E617" s="5">
        <v>922</v>
      </c>
      <c r="G617" s="9" t="s">
        <v>9</v>
      </c>
      <c r="H617" s="9" t="s">
        <v>9</v>
      </c>
      <c r="I617" s="6" t="s">
        <v>2</v>
      </c>
      <c r="L617" s="18">
        <v>6.77</v>
      </c>
      <c r="M617" s="19">
        <v>0</v>
      </c>
      <c r="N617" s="18">
        <v>0</v>
      </c>
      <c r="T617" s="4"/>
      <c r="U617" s="4"/>
      <c r="V617" s="4"/>
      <c r="W617" s="4"/>
      <c r="X617" s="4"/>
      <c r="Y617" s="4"/>
      <c r="Z617" s="4"/>
      <c r="AA617" s="4"/>
      <c r="AD617" s="20" t="str">
        <f>IF((B617="")+(B617="Vacante")+(D617=""),"",IFERROR(MATCH(D617,{"Oficinas";"Locales";"Estacionamientos";"Bodegas"},0),5)&amp;"|"&amp;B617&amp;"|"&amp;TEXT(G617,"yyyymmdd")&amp;"|"&amp;TEXT(H617,"yyyymmdd"))</f>
        <v/>
      </c>
      <c r="AE617" s="4"/>
      <c r="AF617" s="4"/>
    </row>
    <row r="618" spans="1:32" x14ac:dyDescent="0.2">
      <c r="A618" s="5">
        <v>-9</v>
      </c>
      <c r="B618" s="6" t="s">
        <v>4</v>
      </c>
      <c r="C618" s="6" t="s">
        <v>4</v>
      </c>
      <c r="D618" s="6" t="s">
        <v>8</v>
      </c>
      <c r="E618" s="5">
        <v>923</v>
      </c>
      <c r="G618" s="9" t="s">
        <v>9</v>
      </c>
      <c r="H618" s="9" t="s">
        <v>9</v>
      </c>
      <c r="I618" s="6" t="s">
        <v>2</v>
      </c>
      <c r="L618" s="18">
        <v>6.6</v>
      </c>
      <c r="M618" s="19">
        <v>0</v>
      </c>
      <c r="N618" s="18">
        <v>0</v>
      </c>
      <c r="T618" s="4"/>
      <c r="U618" s="4"/>
      <c r="V618" s="4"/>
      <c r="W618" s="4"/>
      <c r="X618" s="4"/>
      <c r="Y618" s="4"/>
      <c r="Z618" s="4"/>
      <c r="AA618" s="4"/>
      <c r="AD618" s="20" t="str">
        <f>IF((B618="")+(B618="Vacante")+(D618=""),"",IFERROR(MATCH(D618,{"Oficinas";"Locales";"Estacionamientos";"Bodegas"},0),5)&amp;"|"&amp;B618&amp;"|"&amp;TEXT(G618,"yyyymmdd")&amp;"|"&amp;TEXT(H618,"yyyymmdd"))</f>
        <v/>
      </c>
      <c r="AE618" s="4"/>
      <c r="AF618" s="4"/>
    </row>
    <row r="619" spans="1:32" x14ac:dyDescent="0.2">
      <c r="A619" s="5">
        <v>-9</v>
      </c>
      <c r="B619" s="6" t="s">
        <v>4</v>
      </c>
      <c r="C619" s="6" t="s">
        <v>4</v>
      </c>
      <c r="D619" s="6" t="s">
        <v>8</v>
      </c>
      <c r="E619" s="5">
        <v>924</v>
      </c>
      <c r="G619" s="9" t="s">
        <v>9</v>
      </c>
      <c r="H619" s="9" t="s">
        <v>9</v>
      </c>
      <c r="I619" s="6" t="s">
        <v>2</v>
      </c>
      <c r="L619" s="18">
        <v>7.16</v>
      </c>
      <c r="M619" s="19">
        <v>0</v>
      </c>
      <c r="N619" s="18">
        <v>0</v>
      </c>
      <c r="T619" s="4"/>
      <c r="U619" s="4"/>
      <c r="V619" s="4"/>
      <c r="W619" s="4"/>
      <c r="X619" s="4"/>
      <c r="Y619" s="4"/>
      <c r="Z619" s="4"/>
      <c r="AA619" s="4"/>
      <c r="AD619" s="20" t="str">
        <f>IF((B619="")+(B619="Vacante")+(D619=""),"",IFERROR(MATCH(D619,{"Oficinas";"Locales";"Estacionamientos";"Bodegas"},0),5)&amp;"|"&amp;B619&amp;"|"&amp;TEXT(G619,"yyyymmdd")&amp;"|"&amp;TEXT(H619,"yyyymmdd"))</f>
        <v/>
      </c>
      <c r="AE619" s="4"/>
      <c r="AF619" s="4"/>
    </row>
    <row r="620" spans="1:32" x14ac:dyDescent="0.2">
      <c r="A620" s="5">
        <v>-9</v>
      </c>
      <c r="B620" s="6" t="s">
        <v>4</v>
      </c>
      <c r="C620" s="6" t="s">
        <v>4</v>
      </c>
      <c r="D620" s="6" t="s">
        <v>8</v>
      </c>
      <c r="E620" s="5">
        <v>925</v>
      </c>
      <c r="G620" s="9" t="s">
        <v>9</v>
      </c>
      <c r="H620" s="9" t="s">
        <v>9</v>
      </c>
      <c r="I620" s="6" t="s">
        <v>2</v>
      </c>
      <c r="L620" s="18">
        <v>3.4</v>
      </c>
      <c r="M620" s="19">
        <v>0</v>
      </c>
      <c r="N620" s="18">
        <v>0</v>
      </c>
      <c r="T620" s="4"/>
      <c r="U620" s="4"/>
      <c r="V620" s="4"/>
      <c r="W620" s="4"/>
      <c r="X620" s="4"/>
      <c r="Y620" s="4"/>
      <c r="Z620" s="4"/>
      <c r="AA620" s="4"/>
      <c r="AD620" s="20" t="str">
        <f>IF((B620="")+(B620="Vacante")+(D620=""),"",IFERROR(MATCH(D620,{"Oficinas";"Locales";"Estacionamientos";"Bodegas"},0),5)&amp;"|"&amp;B620&amp;"|"&amp;TEXT(G620,"yyyymmdd")&amp;"|"&amp;TEXT(H620,"yyyymmdd"))</f>
        <v/>
      </c>
      <c r="AE620" s="4"/>
      <c r="AF620" s="4"/>
    </row>
    <row r="621" spans="1:32" x14ac:dyDescent="0.2">
      <c r="A621" s="5">
        <v>-9</v>
      </c>
      <c r="B621" s="6" t="s">
        <v>4</v>
      </c>
      <c r="C621" s="6" t="s">
        <v>4</v>
      </c>
      <c r="D621" s="6" t="s">
        <v>8</v>
      </c>
      <c r="E621" s="5">
        <v>926</v>
      </c>
      <c r="G621" s="9" t="s">
        <v>9</v>
      </c>
      <c r="H621" s="9" t="s">
        <v>9</v>
      </c>
      <c r="I621" s="6" t="s">
        <v>2</v>
      </c>
      <c r="L621" s="18">
        <v>11.46</v>
      </c>
      <c r="M621" s="19">
        <v>0</v>
      </c>
      <c r="N621" s="18">
        <v>0</v>
      </c>
      <c r="T621" s="4"/>
      <c r="U621" s="4"/>
      <c r="V621" s="4"/>
      <c r="W621" s="4"/>
      <c r="X621" s="4"/>
      <c r="Y621" s="4"/>
      <c r="Z621" s="4"/>
      <c r="AA621" s="4"/>
      <c r="AD621" s="20" t="str">
        <f>IF((B621="")+(B621="Vacante")+(D621=""),"",IFERROR(MATCH(D621,{"Oficinas";"Locales";"Estacionamientos";"Bodegas"},0),5)&amp;"|"&amp;B621&amp;"|"&amp;TEXT(G621,"yyyymmdd")&amp;"|"&amp;TEXT(H621,"yyyymmdd"))</f>
        <v/>
      </c>
      <c r="AE621" s="4"/>
      <c r="AF621" s="4"/>
    </row>
    <row r="622" spans="1:32" x14ac:dyDescent="0.2">
      <c r="A622" s="5">
        <v>-9</v>
      </c>
      <c r="B622" s="6" t="s">
        <v>4</v>
      </c>
      <c r="C622" s="6" t="s">
        <v>4</v>
      </c>
      <c r="D622" s="6" t="s">
        <v>8</v>
      </c>
      <c r="E622" s="5">
        <v>927</v>
      </c>
      <c r="G622" s="9" t="s">
        <v>9</v>
      </c>
      <c r="H622" s="9" t="s">
        <v>9</v>
      </c>
      <c r="I622" s="6" t="s">
        <v>2</v>
      </c>
      <c r="L622" s="18">
        <v>13.25</v>
      </c>
      <c r="M622" s="19">
        <v>0</v>
      </c>
      <c r="N622" s="18">
        <v>0</v>
      </c>
      <c r="T622" s="4"/>
      <c r="U622" s="4"/>
      <c r="V622" s="4"/>
      <c r="W622" s="4"/>
      <c r="X622" s="4"/>
      <c r="Y622" s="4"/>
      <c r="Z622" s="4"/>
      <c r="AA622" s="4"/>
      <c r="AD622" s="20" t="str">
        <f>IF((B622="")+(B622="Vacante")+(D622=""),"",IFERROR(MATCH(D622,{"Oficinas";"Locales";"Estacionamientos";"Bodegas"},0),5)&amp;"|"&amp;B622&amp;"|"&amp;TEXT(G622,"yyyymmdd")&amp;"|"&amp;TEXT(H622,"yyyymmdd"))</f>
        <v/>
      </c>
      <c r="AE622" s="4"/>
      <c r="AF622" s="4"/>
    </row>
    <row r="623" spans="1:32" x14ac:dyDescent="0.2">
      <c r="A623" s="5">
        <v>-9</v>
      </c>
      <c r="B623" s="6" t="s">
        <v>4</v>
      </c>
      <c r="C623" s="6" t="s">
        <v>4</v>
      </c>
      <c r="D623" s="6" t="s">
        <v>8</v>
      </c>
      <c r="E623" s="5">
        <v>928</v>
      </c>
      <c r="G623" s="9" t="s">
        <v>9</v>
      </c>
      <c r="H623" s="9" t="s">
        <v>9</v>
      </c>
      <c r="I623" s="6" t="s">
        <v>2</v>
      </c>
      <c r="L623" s="18">
        <v>8.81</v>
      </c>
      <c r="M623" s="19">
        <v>0</v>
      </c>
      <c r="N623" s="18">
        <v>0</v>
      </c>
      <c r="T623" s="4"/>
      <c r="U623" s="4"/>
      <c r="V623" s="4"/>
      <c r="W623" s="4"/>
      <c r="X623" s="4"/>
      <c r="Y623" s="4"/>
      <c r="Z623" s="4"/>
      <c r="AA623" s="4"/>
      <c r="AD623" s="20" t="str">
        <f>IF((B623="")+(B623="Vacante")+(D623=""),"",IFERROR(MATCH(D623,{"Oficinas";"Locales";"Estacionamientos";"Bodegas"},0),5)&amp;"|"&amp;B623&amp;"|"&amp;TEXT(G623,"yyyymmdd")&amp;"|"&amp;TEXT(H623,"yyyymmdd"))</f>
        <v/>
      </c>
      <c r="AE623" s="4"/>
      <c r="AF623" s="4"/>
    </row>
    <row r="624" spans="1:32" x14ac:dyDescent="0.2">
      <c r="A624" s="5">
        <v>-9</v>
      </c>
      <c r="B624" s="6" t="s">
        <v>4</v>
      </c>
      <c r="C624" s="6" t="s">
        <v>4</v>
      </c>
      <c r="D624" s="6" t="s">
        <v>8</v>
      </c>
      <c r="E624" s="5">
        <v>929</v>
      </c>
      <c r="G624" s="9" t="s">
        <v>9</v>
      </c>
      <c r="H624" s="9" t="s">
        <v>9</v>
      </c>
      <c r="I624" s="6" t="s">
        <v>2</v>
      </c>
      <c r="L624" s="18">
        <v>15.13</v>
      </c>
      <c r="M624" s="19">
        <v>0</v>
      </c>
      <c r="N624" s="18">
        <v>0</v>
      </c>
      <c r="T624" s="4"/>
      <c r="U624" s="4"/>
      <c r="V624" s="4"/>
      <c r="W624" s="4"/>
      <c r="X624" s="4"/>
      <c r="Y624" s="4"/>
      <c r="Z624" s="4"/>
      <c r="AA624" s="4"/>
      <c r="AD624" s="20" t="str">
        <f>IF((B624="")+(B624="Vacante")+(D624=""),"",IFERROR(MATCH(D624,{"Oficinas";"Locales";"Estacionamientos";"Bodegas"},0),5)&amp;"|"&amp;B624&amp;"|"&amp;TEXT(G624,"yyyymmdd")&amp;"|"&amp;TEXT(H624,"yyyymmdd"))</f>
        <v/>
      </c>
      <c r="AE624" s="4"/>
      <c r="AF624" s="4"/>
    </row>
    <row r="625" spans="1:32" x14ac:dyDescent="0.2">
      <c r="A625" s="5">
        <v>-9</v>
      </c>
      <c r="B625" s="6" t="s">
        <v>4</v>
      </c>
      <c r="C625" s="6" t="s">
        <v>4</v>
      </c>
      <c r="D625" s="6" t="s">
        <v>8</v>
      </c>
      <c r="E625" s="5">
        <v>930</v>
      </c>
      <c r="G625" s="9" t="s">
        <v>9</v>
      </c>
      <c r="H625" s="9" t="s">
        <v>9</v>
      </c>
      <c r="I625" s="6" t="s">
        <v>2</v>
      </c>
      <c r="L625" s="18">
        <v>6.68</v>
      </c>
      <c r="M625" s="19">
        <v>0</v>
      </c>
      <c r="N625" s="18">
        <v>0</v>
      </c>
      <c r="T625" s="4"/>
      <c r="U625" s="4"/>
      <c r="V625" s="4"/>
      <c r="W625" s="4"/>
      <c r="X625" s="4"/>
      <c r="Y625" s="4"/>
      <c r="Z625" s="4"/>
      <c r="AA625" s="4"/>
      <c r="AD625" s="20" t="str">
        <f>IF((B625="")+(B625="Vacante")+(D625=""),"",IFERROR(MATCH(D625,{"Oficinas";"Locales";"Estacionamientos";"Bodegas"},0),5)&amp;"|"&amp;B625&amp;"|"&amp;TEXT(G625,"yyyymmdd")&amp;"|"&amp;TEXT(H625,"yyyymmdd"))</f>
        <v/>
      </c>
      <c r="AE625" s="4"/>
      <c r="AF625" s="4"/>
    </row>
    <row r="626" spans="1:32" x14ac:dyDescent="0.2">
      <c r="A626" s="5">
        <v>-9</v>
      </c>
      <c r="B626" s="6" t="s">
        <v>147</v>
      </c>
      <c r="C626" s="6" t="s">
        <v>147</v>
      </c>
      <c r="D626" s="6" t="s">
        <v>10</v>
      </c>
      <c r="E626" s="5">
        <v>9001</v>
      </c>
      <c r="G626" s="9" t="s">
        <v>9</v>
      </c>
      <c r="H626" s="9">
        <v>46081</v>
      </c>
      <c r="I626" s="6" t="s">
        <v>2</v>
      </c>
      <c r="L626" s="18">
        <v>1</v>
      </c>
      <c r="M626" s="19">
        <v>0.84</v>
      </c>
      <c r="N626" s="18">
        <v>0.84</v>
      </c>
      <c r="T626" s="4"/>
      <c r="U626" s="4"/>
      <c r="V626" s="4"/>
      <c r="W626" s="4"/>
      <c r="X626" s="4"/>
      <c r="Y626" s="4"/>
      <c r="Z626" s="4"/>
      <c r="AA626" s="4"/>
      <c r="AD626" s="20" t="str">
        <f>IF((B626="")+(B626="Vacante")+(D626=""),"",IFERROR(MATCH(D626,{"Oficinas";"Locales";"Estacionamientos";"Bodegas"},0),5)&amp;"|"&amp;B626&amp;"|"&amp;TEXT(G626,"yyyymmdd")&amp;"|"&amp;TEXT(H626,"yyyymmdd"))</f>
        <v>3|CENTRAL PARKIING SYSTEM CHILE|-|20260228</v>
      </c>
      <c r="AE626" s="4"/>
      <c r="AF626" s="4"/>
    </row>
    <row r="627" spans="1:32" x14ac:dyDescent="0.2">
      <c r="A627" s="5">
        <v>-9</v>
      </c>
      <c r="B627" s="6" t="s">
        <v>147</v>
      </c>
      <c r="C627" s="6" t="s">
        <v>147</v>
      </c>
      <c r="D627" s="6" t="s">
        <v>10</v>
      </c>
      <c r="E627" s="5">
        <v>9002</v>
      </c>
      <c r="G627" s="9" t="s">
        <v>9</v>
      </c>
      <c r="H627" s="9">
        <v>46081</v>
      </c>
      <c r="I627" s="6" t="s">
        <v>2</v>
      </c>
      <c r="L627" s="18">
        <v>1</v>
      </c>
      <c r="M627" s="19">
        <v>0.84</v>
      </c>
      <c r="N627" s="18">
        <v>0.84</v>
      </c>
      <c r="T627" s="4"/>
      <c r="U627" s="4"/>
      <c r="V627" s="4"/>
      <c r="W627" s="4"/>
      <c r="X627" s="4"/>
      <c r="Y627" s="4"/>
      <c r="Z627" s="4"/>
      <c r="AA627" s="4"/>
      <c r="AD627" s="20" t="str">
        <f>IF((B627="")+(B627="Vacante")+(D627=""),"",IFERROR(MATCH(D627,{"Oficinas";"Locales";"Estacionamientos";"Bodegas"},0),5)&amp;"|"&amp;B627&amp;"|"&amp;TEXT(G627,"yyyymmdd")&amp;"|"&amp;TEXT(H627,"yyyymmdd"))</f>
        <v>3|CENTRAL PARKIING SYSTEM CHILE|-|20260228</v>
      </c>
      <c r="AE627" s="4"/>
      <c r="AF627" s="4"/>
    </row>
    <row r="628" spans="1:32" x14ac:dyDescent="0.2">
      <c r="A628" s="5">
        <v>-9</v>
      </c>
      <c r="B628" s="6" t="s">
        <v>147</v>
      </c>
      <c r="C628" s="6" t="s">
        <v>147</v>
      </c>
      <c r="D628" s="6" t="s">
        <v>10</v>
      </c>
      <c r="E628" s="5">
        <v>9003</v>
      </c>
      <c r="G628" s="9" t="s">
        <v>9</v>
      </c>
      <c r="H628" s="9">
        <v>46081</v>
      </c>
      <c r="I628" s="6" t="s">
        <v>2</v>
      </c>
      <c r="L628" s="18">
        <v>1</v>
      </c>
      <c r="M628" s="19">
        <v>0.84</v>
      </c>
      <c r="N628" s="18">
        <v>0.84</v>
      </c>
      <c r="T628" s="4"/>
      <c r="U628" s="4"/>
      <c r="V628" s="4"/>
      <c r="W628" s="4"/>
      <c r="X628" s="4"/>
      <c r="Y628" s="4"/>
      <c r="Z628" s="4"/>
      <c r="AA628" s="4"/>
      <c r="AD628" s="20" t="str">
        <f>IF((B628="")+(B628="Vacante")+(D628=""),"",IFERROR(MATCH(D628,{"Oficinas";"Locales";"Estacionamientos";"Bodegas"},0),5)&amp;"|"&amp;B628&amp;"|"&amp;TEXT(G628,"yyyymmdd")&amp;"|"&amp;TEXT(H628,"yyyymmdd"))</f>
        <v>3|CENTRAL PARKIING SYSTEM CHILE|-|20260228</v>
      </c>
      <c r="AE628" s="4"/>
      <c r="AF628" s="4"/>
    </row>
    <row r="629" spans="1:32" x14ac:dyDescent="0.2">
      <c r="A629" s="5">
        <v>-9</v>
      </c>
      <c r="B629" s="6" t="s">
        <v>147</v>
      </c>
      <c r="C629" s="6" t="s">
        <v>147</v>
      </c>
      <c r="D629" s="6" t="s">
        <v>10</v>
      </c>
      <c r="E629" s="5">
        <v>9004</v>
      </c>
      <c r="G629" s="9" t="s">
        <v>9</v>
      </c>
      <c r="H629" s="9">
        <v>46081</v>
      </c>
      <c r="I629" s="6" t="s">
        <v>2</v>
      </c>
      <c r="L629" s="18">
        <v>1</v>
      </c>
      <c r="M629" s="19">
        <v>0.84</v>
      </c>
      <c r="N629" s="18">
        <v>0.84</v>
      </c>
      <c r="T629" s="4"/>
      <c r="U629" s="4"/>
      <c r="V629" s="4"/>
      <c r="W629" s="4"/>
      <c r="X629" s="4"/>
      <c r="Y629" s="4"/>
      <c r="Z629" s="4"/>
      <c r="AA629" s="4"/>
      <c r="AD629" s="20" t="str">
        <f>IF((B629="")+(B629="Vacante")+(D629=""),"",IFERROR(MATCH(D629,{"Oficinas";"Locales";"Estacionamientos";"Bodegas"},0),5)&amp;"|"&amp;B629&amp;"|"&amp;TEXT(G629,"yyyymmdd")&amp;"|"&amp;TEXT(H629,"yyyymmdd"))</f>
        <v>3|CENTRAL PARKIING SYSTEM CHILE|-|20260228</v>
      </c>
      <c r="AE629" s="4"/>
      <c r="AF629" s="4"/>
    </row>
    <row r="630" spans="1:32" x14ac:dyDescent="0.2">
      <c r="A630" s="5">
        <v>-9</v>
      </c>
      <c r="B630" s="6" t="s">
        <v>147</v>
      </c>
      <c r="C630" s="6" t="s">
        <v>147</v>
      </c>
      <c r="D630" s="6" t="s">
        <v>10</v>
      </c>
      <c r="E630" s="5">
        <v>9005</v>
      </c>
      <c r="G630" s="9" t="s">
        <v>9</v>
      </c>
      <c r="H630" s="9">
        <v>46081</v>
      </c>
      <c r="I630" s="6" t="s">
        <v>2</v>
      </c>
      <c r="L630" s="18">
        <v>1</v>
      </c>
      <c r="M630" s="19">
        <v>0.84</v>
      </c>
      <c r="N630" s="18">
        <v>0.84</v>
      </c>
      <c r="T630" s="4"/>
      <c r="U630" s="4"/>
      <c r="V630" s="4"/>
      <c r="W630" s="4"/>
      <c r="X630" s="4"/>
      <c r="Y630" s="4"/>
      <c r="Z630" s="4"/>
      <c r="AA630" s="4"/>
      <c r="AD630" s="20" t="str">
        <f>IF((B630="")+(B630="Vacante")+(D630=""),"",IFERROR(MATCH(D630,{"Oficinas";"Locales";"Estacionamientos";"Bodegas"},0),5)&amp;"|"&amp;B630&amp;"|"&amp;TEXT(G630,"yyyymmdd")&amp;"|"&amp;TEXT(H630,"yyyymmdd"))</f>
        <v>3|CENTRAL PARKIING SYSTEM CHILE|-|20260228</v>
      </c>
      <c r="AE630" s="4"/>
      <c r="AF630" s="4"/>
    </row>
    <row r="631" spans="1:32" x14ac:dyDescent="0.2">
      <c r="A631" s="5">
        <v>-9</v>
      </c>
      <c r="B631" s="6" t="s">
        <v>147</v>
      </c>
      <c r="C631" s="6" t="s">
        <v>147</v>
      </c>
      <c r="D631" s="6" t="s">
        <v>10</v>
      </c>
      <c r="E631" s="5">
        <v>9006</v>
      </c>
      <c r="G631" s="9" t="s">
        <v>9</v>
      </c>
      <c r="H631" s="9">
        <v>46081</v>
      </c>
      <c r="I631" s="6" t="s">
        <v>2</v>
      </c>
      <c r="L631" s="18">
        <v>1</v>
      </c>
      <c r="M631" s="19">
        <v>0.84</v>
      </c>
      <c r="N631" s="18">
        <v>0.84</v>
      </c>
      <c r="T631" s="4"/>
      <c r="U631" s="4"/>
      <c r="V631" s="4"/>
      <c r="W631" s="4"/>
      <c r="X631" s="4"/>
      <c r="Y631" s="4"/>
      <c r="Z631" s="4"/>
      <c r="AA631" s="4"/>
      <c r="AD631" s="20" t="str">
        <f>IF((B631="")+(B631="Vacante")+(D631=""),"",IFERROR(MATCH(D631,{"Oficinas";"Locales";"Estacionamientos";"Bodegas"},0),5)&amp;"|"&amp;B631&amp;"|"&amp;TEXT(G631,"yyyymmdd")&amp;"|"&amp;TEXT(H631,"yyyymmdd"))</f>
        <v>3|CENTRAL PARKIING SYSTEM CHILE|-|20260228</v>
      </c>
      <c r="AE631" s="4"/>
      <c r="AF631" s="4"/>
    </row>
    <row r="632" spans="1:32" x14ac:dyDescent="0.2">
      <c r="A632" s="5">
        <v>-9</v>
      </c>
      <c r="B632" s="6" t="s">
        <v>147</v>
      </c>
      <c r="C632" s="6" t="s">
        <v>147</v>
      </c>
      <c r="D632" s="6" t="s">
        <v>10</v>
      </c>
      <c r="E632" s="5">
        <v>9007</v>
      </c>
      <c r="G632" s="9" t="s">
        <v>9</v>
      </c>
      <c r="H632" s="9">
        <v>46081</v>
      </c>
      <c r="I632" s="6" t="s">
        <v>2</v>
      </c>
      <c r="L632" s="18">
        <v>1</v>
      </c>
      <c r="M632" s="19">
        <v>0.84</v>
      </c>
      <c r="N632" s="18">
        <v>0.84</v>
      </c>
      <c r="T632" s="4"/>
      <c r="U632" s="4"/>
      <c r="V632" s="4"/>
      <c r="W632" s="4"/>
      <c r="X632" s="4"/>
      <c r="Y632" s="4"/>
      <c r="Z632" s="4"/>
      <c r="AA632" s="4"/>
      <c r="AD632" s="20" t="str">
        <f>IF((B632="")+(B632="Vacante")+(D632=""),"",IFERROR(MATCH(D632,{"Oficinas";"Locales";"Estacionamientos";"Bodegas"},0),5)&amp;"|"&amp;B632&amp;"|"&amp;TEXT(G632,"yyyymmdd")&amp;"|"&amp;TEXT(H632,"yyyymmdd"))</f>
        <v>3|CENTRAL PARKIING SYSTEM CHILE|-|20260228</v>
      </c>
      <c r="AE632" s="4"/>
      <c r="AF632" s="4"/>
    </row>
    <row r="633" spans="1:32" x14ac:dyDescent="0.2">
      <c r="A633" s="5">
        <v>-9</v>
      </c>
      <c r="B633" s="6" t="s">
        <v>147</v>
      </c>
      <c r="C633" s="6" t="s">
        <v>147</v>
      </c>
      <c r="D633" s="6" t="s">
        <v>10</v>
      </c>
      <c r="E633" s="5">
        <v>9008</v>
      </c>
      <c r="G633" s="9" t="s">
        <v>9</v>
      </c>
      <c r="H633" s="9">
        <v>46081</v>
      </c>
      <c r="I633" s="6" t="s">
        <v>2</v>
      </c>
      <c r="L633" s="18">
        <v>1</v>
      </c>
      <c r="M633" s="19">
        <v>0.84</v>
      </c>
      <c r="N633" s="18">
        <v>0.84</v>
      </c>
      <c r="T633" s="4"/>
      <c r="U633" s="4"/>
      <c r="V633" s="4"/>
      <c r="W633" s="4"/>
      <c r="X633" s="4"/>
      <c r="Y633" s="4"/>
      <c r="Z633" s="4"/>
      <c r="AA633" s="4"/>
      <c r="AD633" s="20" t="str">
        <f>IF((B633="")+(B633="Vacante")+(D633=""),"",IFERROR(MATCH(D633,{"Oficinas";"Locales";"Estacionamientos";"Bodegas"},0),5)&amp;"|"&amp;B633&amp;"|"&amp;TEXT(G633,"yyyymmdd")&amp;"|"&amp;TEXT(H633,"yyyymmdd"))</f>
        <v>3|CENTRAL PARKIING SYSTEM CHILE|-|20260228</v>
      </c>
      <c r="AE633" s="4"/>
      <c r="AF633" s="4"/>
    </row>
    <row r="634" spans="1:32" x14ac:dyDescent="0.2">
      <c r="A634" s="5">
        <v>-9</v>
      </c>
      <c r="B634" s="6" t="s">
        <v>147</v>
      </c>
      <c r="C634" s="6" t="s">
        <v>147</v>
      </c>
      <c r="D634" s="6" t="s">
        <v>10</v>
      </c>
      <c r="E634" s="5">
        <v>9009</v>
      </c>
      <c r="G634" s="9" t="s">
        <v>9</v>
      </c>
      <c r="H634" s="9">
        <v>46081</v>
      </c>
      <c r="I634" s="6" t="s">
        <v>2</v>
      </c>
      <c r="L634" s="18">
        <v>1</v>
      </c>
      <c r="M634" s="19">
        <v>0.84</v>
      </c>
      <c r="N634" s="18">
        <v>0.84</v>
      </c>
      <c r="T634" s="4"/>
      <c r="U634" s="4"/>
      <c r="V634" s="4"/>
      <c r="W634" s="4"/>
      <c r="X634" s="4"/>
      <c r="Y634" s="4"/>
      <c r="Z634" s="4"/>
      <c r="AA634" s="4"/>
      <c r="AD634" s="20" t="str">
        <f>IF((B634="")+(B634="Vacante")+(D634=""),"",IFERROR(MATCH(D634,{"Oficinas";"Locales";"Estacionamientos";"Bodegas"},0),5)&amp;"|"&amp;B634&amp;"|"&amp;TEXT(G634,"yyyymmdd")&amp;"|"&amp;TEXT(H634,"yyyymmdd"))</f>
        <v>3|CENTRAL PARKIING SYSTEM CHILE|-|20260228</v>
      </c>
      <c r="AE634" s="4"/>
      <c r="AF634" s="4"/>
    </row>
    <row r="635" spans="1:32" x14ac:dyDescent="0.2">
      <c r="A635" s="5">
        <v>-9</v>
      </c>
      <c r="B635" s="6" t="s">
        <v>147</v>
      </c>
      <c r="C635" s="6" t="s">
        <v>147</v>
      </c>
      <c r="D635" s="6" t="s">
        <v>10</v>
      </c>
      <c r="E635" s="5">
        <v>9010</v>
      </c>
      <c r="G635" s="9" t="s">
        <v>9</v>
      </c>
      <c r="H635" s="9">
        <v>46081</v>
      </c>
      <c r="I635" s="6" t="s">
        <v>2</v>
      </c>
      <c r="L635" s="18">
        <v>1</v>
      </c>
      <c r="M635" s="19">
        <v>0.84</v>
      </c>
      <c r="N635" s="18">
        <v>0.84</v>
      </c>
      <c r="T635" s="4"/>
      <c r="U635" s="4"/>
      <c r="V635" s="4"/>
      <c r="W635" s="4"/>
      <c r="X635" s="4"/>
      <c r="Y635" s="4"/>
      <c r="Z635" s="4"/>
      <c r="AA635" s="4"/>
      <c r="AD635" s="20" t="str">
        <f>IF((B635="")+(B635="Vacante")+(D635=""),"",IFERROR(MATCH(D635,{"Oficinas";"Locales";"Estacionamientos";"Bodegas"},0),5)&amp;"|"&amp;B635&amp;"|"&amp;TEXT(G635,"yyyymmdd")&amp;"|"&amp;TEXT(H635,"yyyymmdd"))</f>
        <v>3|CENTRAL PARKIING SYSTEM CHILE|-|20260228</v>
      </c>
      <c r="AE635" s="4"/>
      <c r="AF635" s="4"/>
    </row>
    <row r="636" spans="1:32" x14ac:dyDescent="0.2">
      <c r="A636" s="5">
        <v>-9</v>
      </c>
      <c r="B636" s="6" t="s">
        <v>147</v>
      </c>
      <c r="C636" s="6" t="s">
        <v>147</v>
      </c>
      <c r="D636" s="6" t="s">
        <v>10</v>
      </c>
      <c r="E636" s="5">
        <v>9011</v>
      </c>
      <c r="G636" s="9" t="s">
        <v>9</v>
      </c>
      <c r="H636" s="9">
        <v>46081</v>
      </c>
      <c r="I636" s="6" t="s">
        <v>2</v>
      </c>
      <c r="L636" s="18">
        <v>1</v>
      </c>
      <c r="M636" s="19">
        <v>0.84</v>
      </c>
      <c r="N636" s="18">
        <v>0.84</v>
      </c>
      <c r="T636" s="4"/>
      <c r="U636" s="4"/>
      <c r="V636" s="4"/>
      <c r="W636" s="4"/>
      <c r="X636" s="4"/>
      <c r="Y636" s="4"/>
      <c r="Z636" s="4"/>
      <c r="AA636" s="4"/>
      <c r="AD636" s="20" t="str">
        <f>IF((B636="")+(B636="Vacante")+(D636=""),"",IFERROR(MATCH(D636,{"Oficinas";"Locales";"Estacionamientos";"Bodegas"},0),5)&amp;"|"&amp;B636&amp;"|"&amp;TEXT(G636,"yyyymmdd")&amp;"|"&amp;TEXT(H636,"yyyymmdd"))</f>
        <v>3|CENTRAL PARKIING SYSTEM CHILE|-|20260228</v>
      </c>
      <c r="AE636" s="4"/>
      <c r="AF636" s="4"/>
    </row>
    <row r="637" spans="1:32" x14ac:dyDescent="0.2">
      <c r="A637" s="5">
        <v>-9</v>
      </c>
      <c r="B637" s="6" t="s">
        <v>147</v>
      </c>
      <c r="C637" s="6" t="s">
        <v>147</v>
      </c>
      <c r="D637" s="6" t="s">
        <v>10</v>
      </c>
      <c r="E637" s="5">
        <v>9012</v>
      </c>
      <c r="G637" s="9" t="s">
        <v>9</v>
      </c>
      <c r="H637" s="9">
        <v>46081</v>
      </c>
      <c r="I637" s="6" t="s">
        <v>2</v>
      </c>
      <c r="L637" s="18">
        <v>1</v>
      </c>
      <c r="M637" s="19">
        <v>0.84</v>
      </c>
      <c r="N637" s="18">
        <v>0.84</v>
      </c>
      <c r="T637" s="4"/>
      <c r="U637" s="4"/>
      <c r="V637" s="4"/>
      <c r="W637" s="4"/>
      <c r="X637" s="4"/>
      <c r="Y637" s="4"/>
      <c r="Z637" s="4"/>
      <c r="AA637" s="4"/>
      <c r="AD637" s="20" t="str">
        <f>IF((B637="")+(B637="Vacante")+(D637=""),"",IFERROR(MATCH(D637,{"Oficinas";"Locales";"Estacionamientos";"Bodegas"},0),5)&amp;"|"&amp;B637&amp;"|"&amp;TEXT(G637,"yyyymmdd")&amp;"|"&amp;TEXT(H637,"yyyymmdd"))</f>
        <v>3|CENTRAL PARKIING SYSTEM CHILE|-|20260228</v>
      </c>
      <c r="AE637" s="4"/>
      <c r="AF637" s="4"/>
    </row>
    <row r="638" spans="1:32" x14ac:dyDescent="0.2">
      <c r="A638" s="5">
        <v>-9</v>
      </c>
      <c r="B638" s="6" t="s">
        <v>147</v>
      </c>
      <c r="C638" s="6" t="s">
        <v>147</v>
      </c>
      <c r="D638" s="6" t="s">
        <v>10</v>
      </c>
      <c r="E638" s="5">
        <v>9013</v>
      </c>
      <c r="G638" s="9" t="s">
        <v>9</v>
      </c>
      <c r="H638" s="9">
        <v>46081</v>
      </c>
      <c r="I638" s="6" t="s">
        <v>2</v>
      </c>
      <c r="L638" s="18">
        <v>1</v>
      </c>
      <c r="M638" s="19">
        <v>0.84</v>
      </c>
      <c r="N638" s="18">
        <v>0.84</v>
      </c>
      <c r="T638" s="4"/>
      <c r="U638" s="4"/>
      <c r="V638" s="4"/>
      <c r="W638" s="4"/>
      <c r="X638" s="4"/>
      <c r="Y638" s="4"/>
      <c r="Z638" s="4"/>
      <c r="AA638" s="4"/>
      <c r="AD638" s="20" t="str">
        <f>IF((B638="")+(B638="Vacante")+(D638=""),"",IFERROR(MATCH(D638,{"Oficinas";"Locales";"Estacionamientos";"Bodegas"},0),5)&amp;"|"&amp;B638&amp;"|"&amp;TEXT(G638,"yyyymmdd")&amp;"|"&amp;TEXT(H638,"yyyymmdd"))</f>
        <v>3|CENTRAL PARKIING SYSTEM CHILE|-|20260228</v>
      </c>
      <c r="AE638" s="4"/>
      <c r="AF638" s="4"/>
    </row>
    <row r="639" spans="1:32" x14ac:dyDescent="0.2">
      <c r="A639" s="5">
        <v>-9</v>
      </c>
      <c r="B639" s="6" t="s">
        <v>147</v>
      </c>
      <c r="C639" s="6" t="s">
        <v>147</v>
      </c>
      <c r="D639" s="6" t="s">
        <v>10</v>
      </c>
      <c r="E639" s="5">
        <v>9014</v>
      </c>
      <c r="G639" s="9" t="s">
        <v>9</v>
      </c>
      <c r="H639" s="9">
        <v>46081</v>
      </c>
      <c r="I639" s="6" t="s">
        <v>2</v>
      </c>
      <c r="L639" s="18">
        <v>1</v>
      </c>
      <c r="M639" s="19">
        <v>0.84</v>
      </c>
      <c r="N639" s="18">
        <v>0.84</v>
      </c>
      <c r="T639" s="4"/>
      <c r="U639" s="4"/>
      <c r="V639" s="4"/>
      <c r="W639" s="4"/>
      <c r="X639" s="4"/>
      <c r="Y639" s="4"/>
      <c r="Z639" s="4"/>
      <c r="AA639" s="4"/>
      <c r="AD639" s="20" t="str">
        <f>IF((B639="")+(B639="Vacante")+(D639=""),"",IFERROR(MATCH(D639,{"Oficinas";"Locales";"Estacionamientos";"Bodegas"},0),5)&amp;"|"&amp;B639&amp;"|"&amp;TEXT(G639,"yyyymmdd")&amp;"|"&amp;TEXT(H639,"yyyymmdd"))</f>
        <v>3|CENTRAL PARKIING SYSTEM CHILE|-|20260228</v>
      </c>
      <c r="AE639" s="4"/>
      <c r="AF639" s="4"/>
    </row>
    <row r="640" spans="1:32" x14ac:dyDescent="0.2">
      <c r="A640" s="5">
        <v>-9</v>
      </c>
      <c r="B640" s="6" t="s">
        <v>147</v>
      </c>
      <c r="C640" s="6" t="s">
        <v>147</v>
      </c>
      <c r="D640" s="6" t="s">
        <v>10</v>
      </c>
      <c r="E640" s="5">
        <v>9015</v>
      </c>
      <c r="G640" s="9" t="s">
        <v>9</v>
      </c>
      <c r="H640" s="9">
        <v>46081</v>
      </c>
      <c r="I640" s="6" t="s">
        <v>2</v>
      </c>
      <c r="L640" s="18">
        <v>1</v>
      </c>
      <c r="M640" s="19">
        <v>0.84</v>
      </c>
      <c r="N640" s="18">
        <v>0.84</v>
      </c>
      <c r="T640" s="4"/>
      <c r="U640" s="4"/>
      <c r="V640" s="4"/>
      <c r="W640" s="4"/>
      <c r="X640" s="4"/>
      <c r="Y640" s="4"/>
      <c r="Z640" s="4"/>
      <c r="AA640" s="4"/>
      <c r="AD640" s="20" t="str">
        <f>IF((B640="")+(B640="Vacante")+(D640=""),"",IFERROR(MATCH(D640,{"Oficinas";"Locales";"Estacionamientos";"Bodegas"},0),5)&amp;"|"&amp;B640&amp;"|"&amp;TEXT(G640,"yyyymmdd")&amp;"|"&amp;TEXT(H640,"yyyymmdd"))</f>
        <v>3|CENTRAL PARKIING SYSTEM CHILE|-|20260228</v>
      </c>
      <c r="AE640" s="4"/>
      <c r="AF640" s="4"/>
    </row>
    <row r="641" spans="1:32" x14ac:dyDescent="0.2">
      <c r="A641" s="5">
        <v>-9</v>
      </c>
      <c r="B641" s="6" t="s">
        <v>147</v>
      </c>
      <c r="C641" s="6" t="s">
        <v>147</v>
      </c>
      <c r="D641" s="6" t="s">
        <v>10</v>
      </c>
      <c r="E641" s="5">
        <v>9016</v>
      </c>
      <c r="G641" s="9" t="s">
        <v>9</v>
      </c>
      <c r="H641" s="9">
        <v>46081</v>
      </c>
      <c r="I641" s="6" t="s">
        <v>2</v>
      </c>
      <c r="L641" s="18">
        <v>1</v>
      </c>
      <c r="M641" s="19">
        <v>0.84</v>
      </c>
      <c r="N641" s="18">
        <v>0.84</v>
      </c>
      <c r="T641" s="4"/>
      <c r="U641" s="4"/>
      <c r="V641" s="4"/>
      <c r="W641" s="4"/>
      <c r="X641" s="4"/>
      <c r="Y641" s="4"/>
      <c r="Z641" s="4"/>
      <c r="AA641" s="4"/>
      <c r="AD641" s="20" t="str">
        <f>IF((B641="")+(B641="Vacante")+(D641=""),"",IFERROR(MATCH(D641,{"Oficinas";"Locales";"Estacionamientos";"Bodegas"},0),5)&amp;"|"&amp;B641&amp;"|"&amp;TEXT(G641,"yyyymmdd")&amp;"|"&amp;TEXT(H641,"yyyymmdd"))</f>
        <v>3|CENTRAL PARKIING SYSTEM CHILE|-|20260228</v>
      </c>
      <c r="AE641" s="4"/>
      <c r="AF641" s="4"/>
    </row>
    <row r="642" spans="1:32" x14ac:dyDescent="0.2">
      <c r="A642" s="5">
        <v>-9</v>
      </c>
      <c r="B642" s="6" t="s">
        <v>147</v>
      </c>
      <c r="C642" s="6" t="s">
        <v>147</v>
      </c>
      <c r="D642" s="6" t="s">
        <v>10</v>
      </c>
      <c r="E642" s="5">
        <v>9017</v>
      </c>
      <c r="G642" s="9" t="s">
        <v>9</v>
      </c>
      <c r="H642" s="9">
        <v>46081</v>
      </c>
      <c r="I642" s="6" t="s">
        <v>2</v>
      </c>
      <c r="L642" s="18">
        <v>1</v>
      </c>
      <c r="M642" s="19">
        <v>0.84</v>
      </c>
      <c r="N642" s="18">
        <v>0.84</v>
      </c>
      <c r="T642" s="4"/>
      <c r="U642" s="4"/>
      <c r="V642" s="4"/>
      <c r="W642" s="4"/>
      <c r="X642" s="4"/>
      <c r="Y642" s="4"/>
      <c r="Z642" s="4"/>
      <c r="AA642" s="4"/>
      <c r="AD642" s="20" t="str">
        <f>IF((B642="")+(B642="Vacante")+(D642=""),"",IFERROR(MATCH(D642,{"Oficinas";"Locales";"Estacionamientos";"Bodegas"},0),5)&amp;"|"&amp;B642&amp;"|"&amp;TEXT(G642,"yyyymmdd")&amp;"|"&amp;TEXT(H642,"yyyymmdd"))</f>
        <v>3|CENTRAL PARKIING SYSTEM CHILE|-|20260228</v>
      </c>
      <c r="AE642" s="4"/>
      <c r="AF642" s="4"/>
    </row>
    <row r="643" spans="1:32" x14ac:dyDescent="0.2">
      <c r="A643" s="5">
        <v>-9</v>
      </c>
      <c r="B643" s="6" t="s">
        <v>147</v>
      </c>
      <c r="C643" s="6" t="s">
        <v>147</v>
      </c>
      <c r="D643" s="6" t="s">
        <v>10</v>
      </c>
      <c r="E643" s="5">
        <v>9018</v>
      </c>
      <c r="G643" s="9" t="s">
        <v>9</v>
      </c>
      <c r="H643" s="9">
        <v>46081</v>
      </c>
      <c r="I643" s="6" t="s">
        <v>2</v>
      </c>
      <c r="L643" s="18">
        <v>1</v>
      </c>
      <c r="M643" s="19">
        <v>0.84</v>
      </c>
      <c r="N643" s="18">
        <v>0.84</v>
      </c>
      <c r="T643" s="4"/>
      <c r="U643" s="4"/>
      <c r="V643" s="4"/>
      <c r="W643" s="4"/>
      <c r="X643" s="4"/>
      <c r="Y643" s="4"/>
      <c r="Z643" s="4"/>
      <c r="AA643" s="4"/>
      <c r="AD643" s="20" t="str">
        <f>IF((B643="")+(B643="Vacante")+(D643=""),"",IFERROR(MATCH(D643,{"Oficinas";"Locales";"Estacionamientos";"Bodegas"},0),5)&amp;"|"&amp;B643&amp;"|"&amp;TEXT(G643,"yyyymmdd")&amp;"|"&amp;TEXT(H643,"yyyymmdd"))</f>
        <v>3|CENTRAL PARKIING SYSTEM CHILE|-|20260228</v>
      </c>
      <c r="AE643" s="4"/>
      <c r="AF643" s="4"/>
    </row>
    <row r="644" spans="1:32" x14ac:dyDescent="0.2">
      <c r="A644" s="5">
        <v>-9</v>
      </c>
      <c r="B644" s="6" t="s">
        <v>147</v>
      </c>
      <c r="C644" s="6" t="s">
        <v>147</v>
      </c>
      <c r="D644" s="6" t="s">
        <v>10</v>
      </c>
      <c r="E644" s="5">
        <v>9019</v>
      </c>
      <c r="G644" s="9" t="s">
        <v>9</v>
      </c>
      <c r="H644" s="9">
        <v>46081</v>
      </c>
      <c r="I644" s="6" t="s">
        <v>2</v>
      </c>
      <c r="L644" s="18">
        <v>1</v>
      </c>
      <c r="M644" s="19">
        <v>0.84</v>
      </c>
      <c r="N644" s="18">
        <v>0.84</v>
      </c>
      <c r="T644" s="4"/>
      <c r="U644" s="4"/>
      <c r="V644" s="4"/>
      <c r="W644" s="4"/>
      <c r="X644" s="4"/>
      <c r="Y644" s="4"/>
      <c r="Z644" s="4"/>
      <c r="AA644" s="4"/>
      <c r="AD644" s="20" t="str">
        <f>IF((B644="")+(B644="Vacante")+(D644=""),"",IFERROR(MATCH(D644,{"Oficinas";"Locales";"Estacionamientos";"Bodegas"},0),5)&amp;"|"&amp;B644&amp;"|"&amp;TEXT(G644,"yyyymmdd")&amp;"|"&amp;TEXT(H644,"yyyymmdd"))</f>
        <v>3|CENTRAL PARKIING SYSTEM CHILE|-|20260228</v>
      </c>
      <c r="AE644" s="4"/>
      <c r="AF644" s="4"/>
    </row>
    <row r="645" spans="1:32" x14ac:dyDescent="0.2">
      <c r="A645" s="5">
        <v>-9</v>
      </c>
      <c r="B645" s="6" t="s">
        <v>147</v>
      </c>
      <c r="C645" s="6" t="s">
        <v>147</v>
      </c>
      <c r="D645" s="6" t="s">
        <v>10</v>
      </c>
      <c r="E645" s="5">
        <v>9020</v>
      </c>
      <c r="G645" s="9" t="s">
        <v>9</v>
      </c>
      <c r="H645" s="9">
        <v>46081</v>
      </c>
      <c r="I645" s="6" t="s">
        <v>2</v>
      </c>
      <c r="L645" s="18">
        <v>1</v>
      </c>
      <c r="M645" s="19">
        <v>0.84</v>
      </c>
      <c r="N645" s="18">
        <v>0.84</v>
      </c>
      <c r="T645" s="4"/>
      <c r="U645" s="4"/>
      <c r="V645" s="4"/>
      <c r="W645" s="4"/>
      <c r="X645" s="4"/>
      <c r="Y645" s="4"/>
      <c r="Z645" s="4"/>
      <c r="AA645" s="4"/>
      <c r="AD645" s="20" t="str">
        <f>IF((B645="")+(B645="Vacante")+(D645=""),"",IFERROR(MATCH(D645,{"Oficinas";"Locales";"Estacionamientos";"Bodegas"},0),5)&amp;"|"&amp;B645&amp;"|"&amp;TEXT(G645,"yyyymmdd")&amp;"|"&amp;TEXT(H645,"yyyymmdd"))</f>
        <v>3|CENTRAL PARKIING SYSTEM CHILE|-|20260228</v>
      </c>
      <c r="AE645" s="4"/>
      <c r="AF645" s="4"/>
    </row>
    <row r="646" spans="1:32" x14ac:dyDescent="0.2">
      <c r="A646" s="5">
        <v>-9</v>
      </c>
      <c r="B646" s="6" t="s">
        <v>147</v>
      </c>
      <c r="C646" s="6" t="s">
        <v>147</v>
      </c>
      <c r="D646" s="6" t="s">
        <v>10</v>
      </c>
      <c r="E646" s="5">
        <v>9021</v>
      </c>
      <c r="G646" s="9" t="s">
        <v>9</v>
      </c>
      <c r="H646" s="9">
        <v>46081</v>
      </c>
      <c r="I646" s="6" t="s">
        <v>2</v>
      </c>
      <c r="L646" s="18">
        <v>1</v>
      </c>
      <c r="M646" s="19">
        <v>0.84</v>
      </c>
      <c r="N646" s="18">
        <v>0.84</v>
      </c>
      <c r="T646" s="4"/>
      <c r="U646" s="4"/>
      <c r="V646" s="4"/>
      <c r="W646" s="4"/>
      <c r="X646" s="4"/>
      <c r="Y646" s="4"/>
      <c r="Z646" s="4"/>
      <c r="AA646" s="4"/>
      <c r="AD646" s="20" t="str">
        <f>IF((B646="")+(B646="Vacante")+(D646=""),"",IFERROR(MATCH(D646,{"Oficinas";"Locales";"Estacionamientos";"Bodegas"},0),5)&amp;"|"&amp;B646&amp;"|"&amp;TEXT(G646,"yyyymmdd")&amp;"|"&amp;TEXT(H646,"yyyymmdd"))</f>
        <v>3|CENTRAL PARKIING SYSTEM CHILE|-|20260228</v>
      </c>
      <c r="AE646" s="4"/>
      <c r="AF646" s="4"/>
    </row>
    <row r="647" spans="1:32" x14ac:dyDescent="0.2">
      <c r="A647" s="5">
        <v>-9</v>
      </c>
      <c r="B647" s="6" t="s">
        <v>147</v>
      </c>
      <c r="C647" s="6" t="s">
        <v>147</v>
      </c>
      <c r="D647" s="6" t="s">
        <v>10</v>
      </c>
      <c r="E647" s="5">
        <v>9022</v>
      </c>
      <c r="G647" s="9" t="s">
        <v>9</v>
      </c>
      <c r="H647" s="9">
        <v>46081</v>
      </c>
      <c r="I647" s="6" t="s">
        <v>2</v>
      </c>
      <c r="L647" s="18">
        <v>1</v>
      </c>
      <c r="M647" s="19">
        <v>0.84</v>
      </c>
      <c r="N647" s="18">
        <v>0.84</v>
      </c>
      <c r="T647" s="4"/>
      <c r="U647" s="4"/>
      <c r="V647" s="4"/>
      <c r="W647" s="4"/>
      <c r="X647" s="4"/>
      <c r="Y647" s="4"/>
      <c r="Z647" s="4"/>
      <c r="AA647" s="4"/>
      <c r="AD647" s="20" t="str">
        <f>IF((B647="")+(B647="Vacante")+(D647=""),"",IFERROR(MATCH(D647,{"Oficinas";"Locales";"Estacionamientos";"Bodegas"},0),5)&amp;"|"&amp;B647&amp;"|"&amp;TEXT(G647,"yyyymmdd")&amp;"|"&amp;TEXT(H647,"yyyymmdd"))</f>
        <v>3|CENTRAL PARKIING SYSTEM CHILE|-|20260228</v>
      </c>
      <c r="AE647" s="4"/>
      <c r="AF647" s="4"/>
    </row>
    <row r="648" spans="1:32" x14ac:dyDescent="0.2">
      <c r="A648" s="5">
        <v>-9</v>
      </c>
      <c r="B648" s="6" t="s">
        <v>147</v>
      </c>
      <c r="C648" s="6" t="s">
        <v>147</v>
      </c>
      <c r="D648" s="6" t="s">
        <v>10</v>
      </c>
      <c r="E648" s="5">
        <v>9023</v>
      </c>
      <c r="F648" s="6" t="s">
        <v>104</v>
      </c>
      <c r="G648" s="9" t="s">
        <v>9</v>
      </c>
      <c r="H648" s="9">
        <v>46081</v>
      </c>
      <c r="I648" s="6" t="s">
        <v>2</v>
      </c>
      <c r="L648" s="18">
        <v>1</v>
      </c>
      <c r="M648" s="19">
        <v>0.84</v>
      </c>
      <c r="N648" s="18">
        <v>0.84</v>
      </c>
      <c r="T648" s="4"/>
      <c r="U648" s="4"/>
      <c r="V648" s="4"/>
      <c r="W648" s="4"/>
      <c r="X648" s="4"/>
      <c r="Y648" s="4"/>
      <c r="Z648" s="4"/>
      <c r="AA648" s="4"/>
      <c r="AD648" s="20" t="str">
        <f>IF((B648="")+(B648="Vacante")+(D648=""),"",IFERROR(MATCH(D648,{"Oficinas";"Locales";"Estacionamientos";"Bodegas"},0),5)&amp;"|"&amp;B648&amp;"|"&amp;TEXT(G648,"yyyymmdd")&amp;"|"&amp;TEXT(H648,"yyyymmdd"))</f>
        <v>3|CENTRAL PARKIING SYSTEM CHILE|-|20260228</v>
      </c>
      <c r="AE648" s="4"/>
      <c r="AF648" s="4"/>
    </row>
    <row r="649" spans="1:32" x14ac:dyDescent="0.2">
      <c r="A649" s="5">
        <v>-9</v>
      </c>
      <c r="B649" s="6" t="s">
        <v>147</v>
      </c>
      <c r="C649" s="6" t="s">
        <v>147</v>
      </c>
      <c r="D649" s="6" t="s">
        <v>10</v>
      </c>
      <c r="E649" s="5">
        <v>9024</v>
      </c>
      <c r="F649" s="6" t="s">
        <v>104</v>
      </c>
      <c r="G649" s="9" t="s">
        <v>9</v>
      </c>
      <c r="H649" s="9">
        <v>46081</v>
      </c>
      <c r="I649" s="6" t="s">
        <v>2</v>
      </c>
      <c r="L649" s="18">
        <v>1</v>
      </c>
      <c r="M649" s="19">
        <v>0.84</v>
      </c>
      <c r="N649" s="18">
        <v>0.84</v>
      </c>
      <c r="T649" s="4"/>
      <c r="U649" s="4"/>
      <c r="V649" s="4"/>
      <c r="W649" s="4"/>
      <c r="X649" s="4"/>
      <c r="Y649" s="4"/>
      <c r="Z649" s="4"/>
      <c r="AA649" s="4"/>
      <c r="AD649" s="20" t="str">
        <f>IF((B649="")+(B649="Vacante")+(D649=""),"",IFERROR(MATCH(D649,{"Oficinas";"Locales";"Estacionamientos";"Bodegas"},0),5)&amp;"|"&amp;B649&amp;"|"&amp;TEXT(G649,"yyyymmdd")&amp;"|"&amp;TEXT(H649,"yyyymmdd"))</f>
        <v>3|CENTRAL PARKIING SYSTEM CHILE|-|20260228</v>
      </c>
      <c r="AE649" s="4"/>
      <c r="AF649" s="4"/>
    </row>
    <row r="650" spans="1:32" x14ac:dyDescent="0.2">
      <c r="A650" s="5">
        <v>-9</v>
      </c>
      <c r="B650" s="6" t="s">
        <v>147</v>
      </c>
      <c r="C650" s="6" t="s">
        <v>147</v>
      </c>
      <c r="D650" s="6" t="s">
        <v>10</v>
      </c>
      <c r="E650" s="5">
        <v>9025</v>
      </c>
      <c r="F650" s="6" t="s">
        <v>104</v>
      </c>
      <c r="G650" s="9" t="s">
        <v>9</v>
      </c>
      <c r="H650" s="9">
        <v>46081</v>
      </c>
      <c r="I650" s="6" t="s">
        <v>2</v>
      </c>
      <c r="L650" s="18">
        <v>1</v>
      </c>
      <c r="M650" s="19">
        <v>0.84</v>
      </c>
      <c r="N650" s="18">
        <v>0.84</v>
      </c>
      <c r="T650" s="4"/>
      <c r="U650" s="4"/>
      <c r="V650" s="4"/>
      <c r="W650" s="4"/>
      <c r="X650" s="4"/>
      <c r="Y650" s="4"/>
      <c r="Z650" s="4"/>
      <c r="AA650" s="4"/>
      <c r="AD650" s="20" t="str">
        <f>IF((B650="")+(B650="Vacante")+(D650=""),"",IFERROR(MATCH(D650,{"Oficinas";"Locales";"Estacionamientos";"Bodegas"},0),5)&amp;"|"&amp;B650&amp;"|"&amp;TEXT(G650,"yyyymmdd")&amp;"|"&amp;TEXT(H650,"yyyymmdd"))</f>
        <v>3|CENTRAL PARKIING SYSTEM CHILE|-|20260228</v>
      </c>
      <c r="AE650" s="4"/>
      <c r="AF650" s="4"/>
    </row>
    <row r="651" spans="1:32" x14ac:dyDescent="0.2">
      <c r="A651" s="5">
        <v>-9</v>
      </c>
      <c r="B651" s="6" t="s">
        <v>147</v>
      </c>
      <c r="C651" s="6" t="s">
        <v>147</v>
      </c>
      <c r="D651" s="6" t="s">
        <v>10</v>
      </c>
      <c r="E651" s="5">
        <v>9026</v>
      </c>
      <c r="F651" s="6" t="s">
        <v>104</v>
      </c>
      <c r="G651" s="9" t="s">
        <v>9</v>
      </c>
      <c r="H651" s="9">
        <v>46081</v>
      </c>
      <c r="I651" s="6" t="s">
        <v>2</v>
      </c>
      <c r="L651" s="18">
        <v>1</v>
      </c>
      <c r="M651" s="19">
        <v>0.84</v>
      </c>
      <c r="N651" s="18">
        <v>0.84</v>
      </c>
      <c r="T651" s="4"/>
      <c r="U651" s="4"/>
      <c r="V651" s="4"/>
      <c r="W651" s="4"/>
      <c r="X651" s="4"/>
      <c r="Y651" s="4"/>
      <c r="Z651" s="4"/>
      <c r="AA651" s="4"/>
      <c r="AD651" s="20" t="str">
        <f>IF((B651="")+(B651="Vacante")+(D651=""),"",IFERROR(MATCH(D651,{"Oficinas";"Locales";"Estacionamientos";"Bodegas"},0),5)&amp;"|"&amp;B651&amp;"|"&amp;TEXT(G651,"yyyymmdd")&amp;"|"&amp;TEXT(H651,"yyyymmdd"))</f>
        <v>3|CENTRAL PARKIING SYSTEM CHILE|-|20260228</v>
      </c>
      <c r="AE651" s="4"/>
      <c r="AF651" s="4"/>
    </row>
    <row r="652" spans="1:32" x14ac:dyDescent="0.2">
      <c r="A652" s="5">
        <v>-9</v>
      </c>
      <c r="B652" s="6" t="s">
        <v>147</v>
      </c>
      <c r="C652" s="6" t="s">
        <v>147</v>
      </c>
      <c r="D652" s="6" t="s">
        <v>10</v>
      </c>
      <c r="E652" s="5">
        <v>9027</v>
      </c>
      <c r="F652" s="6" t="s">
        <v>104</v>
      </c>
      <c r="G652" s="9" t="s">
        <v>9</v>
      </c>
      <c r="H652" s="9">
        <v>46081</v>
      </c>
      <c r="I652" s="6" t="s">
        <v>2</v>
      </c>
      <c r="L652" s="18">
        <v>1</v>
      </c>
      <c r="M652" s="19">
        <v>0.84</v>
      </c>
      <c r="N652" s="18">
        <v>0.84</v>
      </c>
      <c r="T652" s="4"/>
      <c r="U652" s="4"/>
      <c r="V652" s="4"/>
      <c r="W652" s="4"/>
      <c r="X652" s="4"/>
      <c r="Y652" s="4"/>
      <c r="Z652" s="4"/>
      <c r="AA652" s="4"/>
      <c r="AD652" s="20" t="str">
        <f>IF((B652="")+(B652="Vacante")+(D652=""),"",IFERROR(MATCH(D652,{"Oficinas";"Locales";"Estacionamientos";"Bodegas"},0),5)&amp;"|"&amp;B652&amp;"|"&amp;TEXT(G652,"yyyymmdd")&amp;"|"&amp;TEXT(H652,"yyyymmdd"))</f>
        <v>3|CENTRAL PARKIING SYSTEM CHILE|-|20260228</v>
      </c>
      <c r="AE652" s="4"/>
      <c r="AF652" s="4"/>
    </row>
    <row r="653" spans="1:32" x14ac:dyDescent="0.2">
      <c r="A653" s="5">
        <v>-9</v>
      </c>
      <c r="B653" s="6" t="s">
        <v>147</v>
      </c>
      <c r="C653" s="6" t="s">
        <v>147</v>
      </c>
      <c r="D653" s="6" t="s">
        <v>10</v>
      </c>
      <c r="E653" s="5">
        <v>9028</v>
      </c>
      <c r="F653" s="6" t="s">
        <v>104</v>
      </c>
      <c r="G653" s="9" t="s">
        <v>9</v>
      </c>
      <c r="H653" s="9">
        <v>46081</v>
      </c>
      <c r="I653" s="6" t="s">
        <v>2</v>
      </c>
      <c r="L653" s="18">
        <v>1</v>
      </c>
      <c r="M653" s="19">
        <v>0.84</v>
      </c>
      <c r="N653" s="18">
        <v>0.84</v>
      </c>
      <c r="T653" s="4"/>
      <c r="U653" s="4"/>
      <c r="V653" s="4"/>
      <c r="W653" s="4"/>
      <c r="X653" s="4"/>
      <c r="Y653" s="4"/>
      <c r="Z653" s="4"/>
      <c r="AA653" s="4"/>
      <c r="AD653" s="20" t="str">
        <f>IF((B653="")+(B653="Vacante")+(D653=""),"",IFERROR(MATCH(D653,{"Oficinas";"Locales";"Estacionamientos";"Bodegas"},0),5)&amp;"|"&amp;B653&amp;"|"&amp;TEXT(G653,"yyyymmdd")&amp;"|"&amp;TEXT(H653,"yyyymmdd"))</f>
        <v>3|CENTRAL PARKIING SYSTEM CHILE|-|20260228</v>
      </c>
      <c r="AE653" s="4"/>
      <c r="AF653" s="4"/>
    </row>
    <row r="654" spans="1:32" x14ac:dyDescent="0.2">
      <c r="A654" s="5">
        <v>-9</v>
      </c>
      <c r="B654" s="6" t="s">
        <v>147</v>
      </c>
      <c r="C654" s="6" t="s">
        <v>147</v>
      </c>
      <c r="D654" s="6" t="s">
        <v>10</v>
      </c>
      <c r="E654" s="5">
        <v>9029</v>
      </c>
      <c r="F654" s="6" t="s">
        <v>104</v>
      </c>
      <c r="G654" s="9" t="s">
        <v>9</v>
      </c>
      <c r="H654" s="9">
        <v>46081</v>
      </c>
      <c r="I654" s="6" t="s">
        <v>2</v>
      </c>
      <c r="L654" s="18">
        <v>1</v>
      </c>
      <c r="M654" s="19">
        <v>0.84</v>
      </c>
      <c r="N654" s="18">
        <v>0.84</v>
      </c>
      <c r="T654" s="4"/>
      <c r="U654" s="4"/>
      <c r="V654" s="4"/>
      <c r="W654" s="4"/>
      <c r="X654" s="4"/>
      <c r="Y654" s="4"/>
      <c r="Z654" s="4"/>
      <c r="AA654" s="4"/>
      <c r="AD654" s="20" t="str">
        <f>IF((B654="")+(B654="Vacante")+(D654=""),"",IFERROR(MATCH(D654,{"Oficinas";"Locales";"Estacionamientos";"Bodegas"},0),5)&amp;"|"&amp;B654&amp;"|"&amp;TEXT(G654,"yyyymmdd")&amp;"|"&amp;TEXT(H654,"yyyymmdd"))</f>
        <v>3|CENTRAL PARKIING SYSTEM CHILE|-|20260228</v>
      </c>
      <c r="AE654" s="4"/>
      <c r="AF654" s="4"/>
    </row>
    <row r="655" spans="1:32" x14ac:dyDescent="0.2">
      <c r="A655" s="5">
        <v>-9</v>
      </c>
      <c r="B655" s="6" t="s">
        <v>147</v>
      </c>
      <c r="C655" s="6" t="s">
        <v>147</v>
      </c>
      <c r="D655" s="6" t="s">
        <v>10</v>
      </c>
      <c r="E655" s="5">
        <v>9030</v>
      </c>
      <c r="G655" s="9" t="s">
        <v>9</v>
      </c>
      <c r="H655" s="9">
        <v>46081</v>
      </c>
      <c r="I655" s="6" t="s">
        <v>2</v>
      </c>
      <c r="L655" s="18">
        <v>1</v>
      </c>
      <c r="M655" s="19">
        <v>0.84</v>
      </c>
      <c r="N655" s="18">
        <v>0.84</v>
      </c>
      <c r="T655" s="4"/>
      <c r="U655" s="4"/>
      <c r="V655" s="4"/>
      <c r="W655" s="4"/>
      <c r="X655" s="4"/>
      <c r="Y655" s="4"/>
      <c r="Z655" s="4"/>
      <c r="AA655" s="4"/>
      <c r="AD655" s="20" t="str">
        <f>IF((B655="")+(B655="Vacante")+(D655=""),"",IFERROR(MATCH(D655,{"Oficinas";"Locales";"Estacionamientos";"Bodegas"},0),5)&amp;"|"&amp;B655&amp;"|"&amp;TEXT(G655,"yyyymmdd")&amp;"|"&amp;TEXT(H655,"yyyymmdd"))</f>
        <v>3|CENTRAL PARKIING SYSTEM CHILE|-|20260228</v>
      </c>
      <c r="AE655" s="4"/>
      <c r="AF655" s="4"/>
    </row>
    <row r="656" spans="1:32" x14ac:dyDescent="0.2">
      <c r="A656" s="5">
        <v>-9</v>
      </c>
      <c r="B656" s="6" t="s">
        <v>147</v>
      </c>
      <c r="C656" s="6" t="s">
        <v>147</v>
      </c>
      <c r="D656" s="6" t="s">
        <v>10</v>
      </c>
      <c r="E656" s="5">
        <v>9031</v>
      </c>
      <c r="G656" s="9" t="s">
        <v>9</v>
      </c>
      <c r="H656" s="9">
        <v>46081</v>
      </c>
      <c r="I656" s="6" t="s">
        <v>2</v>
      </c>
      <c r="L656" s="18">
        <v>1</v>
      </c>
      <c r="M656" s="19">
        <v>0.84</v>
      </c>
      <c r="N656" s="18">
        <v>0.84</v>
      </c>
      <c r="T656" s="4"/>
      <c r="U656" s="4"/>
      <c r="V656" s="4"/>
      <c r="W656" s="4"/>
      <c r="X656" s="4"/>
      <c r="Y656" s="4"/>
      <c r="Z656" s="4"/>
      <c r="AA656" s="4"/>
      <c r="AD656" s="20" t="str">
        <f>IF((B656="")+(B656="Vacante")+(D656=""),"",IFERROR(MATCH(D656,{"Oficinas";"Locales";"Estacionamientos";"Bodegas"},0),5)&amp;"|"&amp;B656&amp;"|"&amp;TEXT(G656,"yyyymmdd")&amp;"|"&amp;TEXT(H656,"yyyymmdd"))</f>
        <v>3|CENTRAL PARKIING SYSTEM CHILE|-|20260228</v>
      </c>
      <c r="AE656" s="4"/>
      <c r="AF656" s="4"/>
    </row>
    <row r="657" spans="1:32" x14ac:dyDescent="0.2">
      <c r="A657" s="5">
        <v>-9</v>
      </c>
      <c r="B657" s="6" t="s">
        <v>147</v>
      </c>
      <c r="C657" s="6" t="s">
        <v>147</v>
      </c>
      <c r="D657" s="6" t="s">
        <v>10</v>
      </c>
      <c r="E657" s="5">
        <v>9032</v>
      </c>
      <c r="G657" s="9" t="s">
        <v>9</v>
      </c>
      <c r="H657" s="9">
        <v>46081</v>
      </c>
      <c r="I657" s="6" t="s">
        <v>2</v>
      </c>
      <c r="L657" s="18">
        <v>1</v>
      </c>
      <c r="M657" s="19">
        <v>0.84</v>
      </c>
      <c r="N657" s="18">
        <v>0.84</v>
      </c>
      <c r="T657" s="4"/>
      <c r="U657" s="4"/>
      <c r="V657" s="4"/>
      <c r="W657" s="4"/>
      <c r="X657" s="4"/>
      <c r="Y657" s="4"/>
      <c r="Z657" s="4"/>
      <c r="AA657" s="4"/>
      <c r="AD657" s="20" t="str">
        <f>IF((B657="")+(B657="Vacante")+(D657=""),"",IFERROR(MATCH(D657,{"Oficinas";"Locales";"Estacionamientos";"Bodegas"},0),5)&amp;"|"&amp;B657&amp;"|"&amp;TEXT(G657,"yyyymmdd")&amp;"|"&amp;TEXT(H657,"yyyymmdd"))</f>
        <v>3|CENTRAL PARKIING SYSTEM CHILE|-|20260228</v>
      </c>
      <c r="AE657" s="4"/>
      <c r="AF657" s="4"/>
    </row>
    <row r="658" spans="1:32" x14ac:dyDescent="0.2">
      <c r="A658" s="5">
        <v>-9</v>
      </c>
      <c r="B658" s="6" t="s">
        <v>147</v>
      </c>
      <c r="C658" s="6" t="s">
        <v>147</v>
      </c>
      <c r="D658" s="6" t="s">
        <v>10</v>
      </c>
      <c r="E658" s="5">
        <v>9033</v>
      </c>
      <c r="G658" s="9" t="s">
        <v>9</v>
      </c>
      <c r="H658" s="9">
        <v>46081</v>
      </c>
      <c r="I658" s="6" t="s">
        <v>2</v>
      </c>
      <c r="L658" s="18">
        <v>1</v>
      </c>
      <c r="M658" s="19">
        <v>0.84</v>
      </c>
      <c r="N658" s="18">
        <v>0.84</v>
      </c>
      <c r="T658" s="4"/>
      <c r="U658" s="4"/>
      <c r="V658" s="4"/>
      <c r="W658" s="4"/>
      <c r="X658" s="4"/>
      <c r="Y658" s="4"/>
      <c r="Z658" s="4"/>
      <c r="AA658" s="4"/>
      <c r="AD658" s="20" t="str">
        <f>IF((B658="")+(B658="Vacante")+(D658=""),"",IFERROR(MATCH(D658,{"Oficinas";"Locales";"Estacionamientos";"Bodegas"},0),5)&amp;"|"&amp;B658&amp;"|"&amp;TEXT(G658,"yyyymmdd")&amp;"|"&amp;TEXT(H658,"yyyymmdd"))</f>
        <v>3|CENTRAL PARKIING SYSTEM CHILE|-|20260228</v>
      </c>
      <c r="AE658" s="4"/>
      <c r="AF658" s="4"/>
    </row>
    <row r="659" spans="1:32" x14ac:dyDescent="0.2">
      <c r="A659" s="5">
        <v>-9</v>
      </c>
      <c r="B659" s="6" t="s">
        <v>147</v>
      </c>
      <c r="C659" s="6" t="s">
        <v>147</v>
      </c>
      <c r="D659" s="6" t="s">
        <v>10</v>
      </c>
      <c r="E659" s="5">
        <v>9034</v>
      </c>
      <c r="G659" s="9" t="s">
        <v>9</v>
      </c>
      <c r="H659" s="9">
        <v>46081</v>
      </c>
      <c r="I659" s="6" t="s">
        <v>2</v>
      </c>
      <c r="L659" s="18">
        <v>1</v>
      </c>
      <c r="M659" s="19">
        <v>0.84</v>
      </c>
      <c r="N659" s="18">
        <v>0.84</v>
      </c>
      <c r="T659" s="4"/>
      <c r="U659" s="4"/>
      <c r="V659" s="4"/>
      <c r="W659" s="4"/>
      <c r="X659" s="4"/>
      <c r="Y659" s="4"/>
      <c r="Z659" s="4"/>
      <c r="AA659" s="4"/>
      <c r="AD659" s="20" t="str">
        <f>IF((B659="")+(B659="Vacante")+(D659=""),"",IFERROR(MATCH(D659,{"Oficinas";"Locales";"Estacionamientos";"Bodegas"},0),5)&amp;"|"&amp;B659&amp;"|"&amp;TEXT(G659,"yyyymmdd")&amp;"|"&amp;TEXT(H659,"yyyymmdd"))</f>
        <v>3|CENTRAL PARKIING SYSTEM CHILE|-|20260228</v>
      </c>
      <c r="AE659" s="4"/>
      <c r="AF659" s="4"/>
    </row>
    <row r="660" spans="1:32" x14ac:dyDescent="0.2">
      <c r="A660" s="5">
        <v>-9</v>
      </c>
      <c r="B660" s="6" t="s">
        <v>147</v>
      </c>
      <c r="C660" s="6" t="s">
        <v>147</v>
      </c>
      <c r="D660" s="6" t="s">
        <v>10</v>
      </c>
      <c r="E660" s="5">
        <v>9035</v>
      </c>
      <c r="G660" s="9" t="s">
        <v>9</v>
      </c>
      <c r="H660" s="9">
        <v>46081</v>
      </c>
      <c r="I660" s="6" t="s">
        <v>2</v>
      </c>
      <c r="L660" s="18">
        <v>1</v>
      </c>
      <c r="M660" s="19">
        <v>0.84</v>
      </c>
      <c r="N660" s="18">
        <v>0.84</v>
      </c>
      <c r="T660" s="4"/>
      <c r="U660" s="4"/>
      <c r="V660" s="4"/>
      <c r="W660" s="4"/>
      <c r="X660" s="4"/>
      <c r="Y660" s="4"/>
      <c r="Z660" s="4"/>
      <c r="AA660" s="4"/>
      <c r="AD660" s="20" t="str">
        <f>IF((B660="")+(B660="Vacante")+(D660=""),"",IFERROR(MATCH(D660,{"Oficinas";"Locales";"Estacionamientos";"Bodegas"},0),5)&amp;"|"&amp;B660&amp;"|"&amp;TEXT(G660,"yyyymmdd")&amp;"|"&amp;TEXT(H660,"yyyymmdd"))</f>
        <v>3|CENTRAL PARKIING SYSTEM CHILE|-|20260228</v>
      </c>
      <c r="AE660" s="4"/>
      <c r="AF660" s="4"/>
    </row>
    <row r="661" spans="1:32" x14ac:dyDescent="0.2">
      <c r="A661" s="5">
        <v>-9</v>
      </c>
      <c r="B661" s="6" t="s">
        <v>147</v>
      </c>
      <c r="C661" s="6" t="s">
        <v>147</v>
      </c>
      <c r="D661" s="6" t="s">
        <v>10</v>
      </c>
      <c r="E661" s="5">
        <v>9036</v>
      </c>
      <c r="G661" s="9" t="s">
        <v>9</v>
      </c>
      <c r="H661" s="9">
        <v>46081</v>
      </c>
      <c r="I661" s="6" t="s">
        <v>2</v>
      </c>
      <c r="L661" s="18">
        <v>1</v>
      </c>
      <c r="M661" s="19">
        <v>0.84</v>
      </c>
      <c r="N661" s="18">
        <v>0.84</v>
      </c>
      <c r="T661" s="4"/>
      <c r="U661" s="4"/>
      <c r="V661" s="4"/>
      <c r="W661" s="4"/>
      <c r="X661" s="4"/>
      <c r="Y661" s="4"/>
      <c r="Z661" s="4"/>
      <c r="AA661" s="4"/>
      <c r="AD661" s="20" t="str">
        <f>IF((B661="")+(B661="Vacante")+(D661=""),"",IFERROR(MATCH(D661,{"Oficinas";"Locales";"Estacionamientos";"Bodegas"},0),5)&amp;"|"&amp;B661&amp;"|"&amp;TEXT(G661,"yyyymmdd")&amp;"|"&amp;TEXT(H661,"yyyymmdd"))</f>
        <v>3|CENTRAL PARKIING SYSTEM CHILE|-|20260228</v>
      </c>
      <c r="AE661" s="4"/>
      <c r="AF661" s="4"/>
    </row>
    <row r="662" spans="1:32" x14ac:dyDescent="0.2">
      <c r="A662" s="5">
        <v>-9</v>
      </c>
      <c r="B662" s="6" t="s">
        <v>147</v>
      </c>
      <c r="C662" s="6" t="s">
        <v>147</v>
      </c>
      <c r="D662" s="6" t="s">
        <v>10</v>
      </c>
      <c r="E662" s="5">
        <v>9037</v>
      </c>
      <c r="G662" s="9" t="s">
        <v>9</v>
      </c>
      <c r="H662" s="9">
        <v>46081</v>
      </c>
      <c r="I662" s="6" t="s">
        <v>2</v>
      </c>
      <c r="L662" s="18">
        <v>1</v>
      </c>
      <c r="M662" s="19">
        <v>0.84</v>
      </c>
      <c r="N662" s="18">
        <v>0.84</v>
      </c>
      <c r="T662" s="4"/>
      <c r="U662" s="4"/>
      <c r="V662" s="4"/>
      <c r="W662" s="4"/>
      <c r="X662" s="4"/>
      <c r="Y662" s="4"/>
      <c r="Z662" s="4"/>
      <c r="AA662" s="4"/>
      <c r="AD662" s="20" t="str">
        <f>IF((B662="")+(B662="Vacante")+(D662=""),"",IFERROR(MATCH(D662,{"Oficinas";"Locales";"Estacionamientos";"Bodegas"},0),5)&amp;"|"&amp;B662&amp;"|"&amp;TEXT(G662,"yyyymmdd")&amp;"|"&amp;TEXT(H662,"yyyymmdd"))</f>
        <v>3|CENTRAL PARKIING SYSTEM CHILE|-|20260228</v>
      </c>
      <c r="AE662" s="4"/>
      <c r="AF662" s="4"/>
    </row>
    <row r="663" spans="1:32" x14ac:dyDescent="0.2">
      <c r="A663" s="5">
        <v>-9</v>
      </c>
      <c r="B663" s="6" t="s">
        <v>147</v>
      </c>
      <c r="C663" s="6" t="s">
        <v>147</v>
      </c>
      <c r="D663" s="6" t="s">
        <v>10</v>
      </c>
      <c r="E663" s="5">
        <v>9038</v>
      </c>
      <c r="G663" s="9" t="s">
        <v>9</v>
      </c>
      <c r="H663" s="9">
        <v>46081</v>
      </c>
      <c r="I663" s="6" t="s">
        <v>2</v>
      </c>
      <c r="L663" s="18">
        <v>1</v>
      </c>
      <c r="M663" s="19">
        <v>0.84</v>
      </c>
      <c r="N663" s="18">
        <v>0.84</v>
      </c>
      <c r="T663" s="4"/>
      <c r="U663" s="4"/>
      <c r="V663" s="4"/>
      <c r="W663" s="4"/>
      <c r="X663" s="4"/>
      <c r="Y663" s="4"/>
      <c r="Z663" s="4"/>
      <c r="AA663" s="4"/>
      <c r="AD663" s="20" t="str">
        <f>IF((B663="")+(B663="Vacante")+(D663=""),"",IFERROR(MATCH(D663,{"Oficinas";"Locales";"Estacionamientos";"Bodegas"},0),5)&amp;"|"&amp;B663&amp;"|"&amp;TEXT(G663,"yyyymmdd")&amp;"|"&amp;TEXT(H663,"yyyymmdd"))</f>
        <v>3|CENTRAL PARKIING SYSTEM CHILE|-|20260228</v>
      </c>
      <c r="AE663" s="4"/>
      <c r="AF663" s="4"/>
    </row>
    <row r="664" spans="1:32" x14ac:dyDescent="0.2">
      <c r="A664" s="5">
        <v>-9</v>
      </c>
      <c r="B664" s="6" t="s">
        <v>147</v>
      </c>
      <c r="C664" s="6" t="s">
        <v>147</v>
      </c>
      <c r="D664" s="6" t="s">
        <v>10</v>
      </c>
      <c r="E664" s="5">
        <v>9039</v>
      </c>
      <c r="G664" s="9" t="s">
        <v>9</v>
      </c>
      <c r="H664" s="9">
        <v>46081</v>
      </c>
      <c r="I664" s="6" t="s">
        <v>2</v>
      </c>
      <c r="L664" s="18">
        <v>1</v>
      </c>
      <c r="M664" s="19">
        <v>0.84</v>
      </c>
      <c r="N664" s="18">
        <v>0.84</v>
      </c>
      <c r="T664" s="4"/>
      <c r="U664" s="4"/>
      <c r="V664" s="4"/>
      <c r="W664" s="4"/>
      <c r="X664" s="4"/>
      <c r="Y664" s="4"/>
      <c r="Z664" s="4"/>
      <c r="AA664" s="4"/>
      <c r="AD664" s="20" t="str">
        <f>IF((B664="")+(B664="Vacante")+(D664=""),"",IFERROR(MATCH(D664,{"Oficinas";"Locales";"Estacionamientos";"Bodegas"},0),5)&amp;"|"&amp;B664&amp;"|"&amp;TEXT(G664,"yyyymmdd")&amp;"|"&amp;TEXT(H664,"yyyymmdd"))</f>
        <v>3|CENTRAL PARKIING SYSTEM CHILE|-|20260228</v>
      </c>
      <c r="AE664" s="4"/>
      <c r="AF664" s="4"/>
    </row>
    <row r="665" spans="1:32" x14ac:dyDescent="0.2">
      <c r="A665" s="5">
        <v>-9</v>
      </c>
      <c r="B665" s="6" t="s">
        <v>147</v>
      </c>
      <c r="C665" s="6" t="s">
        <v>147</v>
      </c>
      <c r="D665" s="6" t="s">
        <v>10</v>
      </c>
      <c r="E665" s="5">
        <v>9040</v>
      </c>
      <c r="G665" s="9" t="s">
        <v>9</v>
      </c>
      <c r="H665" s="9">
        <v>46081</v>
      </c>
      <c r="I665" s="6" t="s">
        <v>2</v>
      </c>
      <c r="L665" s="18">
        <v>1</v>
      </c>
      <c r="M665" s="19">
        <v>0.84</v>
      </c>
      <c r="N665" s="18">
        <v>0.84</v>
      </c>
      <c r="T665" s="4"/>
      <c r="U665" s="4"/>
      <c r="V665" s="4"/>
      <c r="W665" s="4"/>
      <c r="X665" s="4"/>
      <c r="Y665" s="4"/>
      <c r="Z665" s="4"/>
      <c r="AA665" s="4"/>
      <c r="AD665" s="20" t="str">
        <f>IF((B665="")+(B665="Vacante")+(D665=""),"",IFERROR(MATCH(D665,{"Oficinas";"Locales";"Estacionamientos";"Bodegas"},0),5)&amp;"|"&amp;B665&amp;"|"&amp;TEXT(G665,"yyyymmdd")&amp;"|"&amp;TEXT(H665,"yyyymmdd"))</f>
        <v>3|CENTRAL PARKIING SYSTEM CHILE|-|20260228</v>
      </c>
      <c r="AE665" s="4"/>
      <c r="AF665" s="4"/>
    </row>
    <row r="666" spans="1:32" x14ac:dyDescent="0.2">
      <c r="A666" s="5">
        <v>-9</v>
      </c>
      <c r="B666" s="6" t="s">
        <v>147</v>
      </c>
      <c r="C666" s="6" t="s">
        <v>147</v>
      </c>
      <c r="D666" s="6" t="s">
        <v>10</v>
      </c>
      <c r="E666" s="5">
        <v>9041</v>
      </c>
      <c r="G666" s="9" t="s">
        <v>9</v>
      </c>
      <c r="H666" s="9">
        <v>46081</v>
      </c>
      <c r="I666" s="6" t="s">
        <v>2</v>
      </c>
      <c r="L666" s="18">
        <v>1</v>
      </c>
      <c r="M666" s="19">
        <v>0.84</v>
      </c>
      <c r="N666" s="18">
        <v>0.84</v>
      </c>
      <c r="T666" s="4"/>
      <c r="U666" s="4"/>
      <c r="V666" s="4"/>
      <c r="W666" s="4"/>
      <c r="X666" s="4"/>
      <c r="Y666" s="4"/>
      <c r="Z666" s="4"/>
      <c r="AA666" s="4"/>
      <c r="AD666" s="20" t="str">
        <f>IF((B666="")+(B666="Vacante")+(D666=""),"",IFERROR(MATCH(D666,{"Oficinas";"Locales";"Estacionamientos";"Bodegas"},0),5)&amp;"|"&amp;B666&amp;"|"&amp;TEXT(G666,"yyyymmdd")&amp;"|"&amp;TEXT(H666,"yyyymmdd"))</f>
        <v>3|CENTRAL PARKIING SYSTEM CHILE|-|20260228</v>
      </c>
      <c r="AE666" s="4"/>
      <c r="AF666" s="4"/>
    </row>
    <row r="667" spans="1:32" x14ac:dyDescent="0.2">
      <c r="A667" s="5">
        <v>-9</v>
      </c>
      <c r="B667" s="6" t="s">
        <v>147</v>
      </c>
      <c r="C667" s="6" t="s">
        <v>147</v>
      </c>
      <c r="D667" s="6" t="s">
        <v>10</v>
      </c>
      <c r="E667" s="5">
        <v>9042</v>
      </c>
      <c r="G667" s="9" t="s">
        <v>9</v>
      </c>
      <c r="H667" s="9">
        <v>46081</v>
      </c>
      <c r="I667" s="6" t="s">
        <v>2</v>
      </c>
      <c r="L667" s="18">
        <v>1</v>
      </c>
      <c r="M667" s="19">
        <v>0.84</v>
      </c>
      <c r="N667" s="18">
        <v>0.84</v>
      </c>
      <c r="T667" s="4"/>
      <c r="U667" s="4"/>
      <c r="V667" s="4"/>
      <c r="W667" s="4"/>
      <c r="X667" s="4"/>
      <c r="Y667" s="4"/>
      <c r="Z667" s="4"/>
      <c r="AA667" s="4"/>
      <c r="AD667" s="20" t="str">
        <f>IF((B667="")+(B667="Vacante")+(D667=""),"",IFERROR(MATCH(D667,{"Oficinas";"Locales";"Estacionamientos";"Bodegas"},0),5)&amp;"|"&amp;B667&amp;"|"&amp;TEXT(G667,"yyyymmdd")&amp;"|"&amp;TEXT(H667,"yyyymmdd"))</f>
        <v>3|CENTRAL PARKIING SYSTEM CHILE|-|20260228</v>
      </c>
      <c r="AE667" s="4"/>
      <c r="AF667" s="4"/>
    </row>
    <row r="668" spans="1:32" x14ac:dyDescent="0.2">
      <c r="A668" s="5">
        <v>-9</v>
      </c>
      <c r="B668" s="6" t="s">
        <v>147</v>
      </c>
      <c r="C668" s="6" t="s">
        <v>147</v>
      </c>
      <c r="D668" s="6" t="s">
        <v>10</v>
      </c>
      <c r="E668" s="5">
        <v>9043</v>
      </c>
      <c r="G668" s="9" t="s">
        <v>9</v>
      </c>
      <c r="H668" s="9">
        <v>46081</v>
      </c>
      <c r="I668" s="6" t="s">
        <v>2</v>
      </c>
      <c r="L668" s="18">
        <v>1</v>
      </c>
      <c r="M668" s="19">
        <v>0.84</v>
      </c>
      <c r="N668" s="18">
        <v>0.84</v>
      </c>
      <c r="T668" s="4"/>
      <c r="U668" s="4"/>
      <c r="V668" s="4"/>
      <c r="W668" s="4"/>
      <c r="X668" s="4"/>
      <c r="Y668" s="4"/>
      <c r="Z668" s="4"/>
      <c r="AA668" s="4"/>
      <c r="AD668" s="20" t="str">
        <f>IF((B668="")+(B668="Vacante")+(D668=""),"",IFERROR(MATCH(D668,{"Oficinas";"Locales";"Estacionamientos";"Bodegas"},0),5)&amp;"|"&amp;B668&amp;"|"&amp;TEXT(G668,"yyyymmdd")&amp;"|"&amp;TEXT(H668,"yyyymmdd"))</f>
        <v>3|CENTRAL PARKIING SYSTEM CHILE|-|20260228</v>
      </c>
      <c r="AE668" s="4"/>
      <c r="AF668" s="4"/>
    </row>
    <row r="669" spans="1:32" x14ac:dyDescent="0.2">
      <c r="A669" s="5">
        <v>-9</v>
      </c>
      <c r="B669" s="6" t="s">
        <v>147</v>
      </c>
      <c r="C669" s="6" t="s">
        <v>147</v>
      </c>
      <c r="D669" s="6" t="s">
        <v>10</v>
      </c>
      <c r="E669" s="5">
        <v>9044</v>
      </c>
      <c r="G669" s="9" t="s">
        <v>9</v>
      </c>
      <c r="H669" s="9">
        <v>46081</v>
      </c>
      <c r="I669" s="6" t="s">
        <v>2</v>
      </c>
      <c r="L669" s="18">
        <v>1</v>
      </c>
      <c r="M669" s="19">
        <v>0.84</v>
      </c>
      <c r="N669" s="18">
        <v>0.84</v>
      </c>
      <c r="T669" s="4"/>
      <c r="U669" s="4"/>
      <c r="V669" s="4"/>
      <c r="W669" s="4"/>
      <c r="X669" s="4"/>
      <c r="Y669" s="4"/>
      <c r="Z669" s="4"/>
      <c r="AA669" s="4"/>
      <c r="AD669" s="20" t="str">
        <f>IF((B669="")+(B669="Vacante")+(D669=""),"",IFERROR(MATCH(D669,{"Oficinas";"Locales";"Estacionamientos";"Bodegas"},0),5)&amp;"|"&amp;B669&amp;"|"&amp;TEXT(G669,"yyyymmdd")&amp;"|"&amp;TEXT(H669,"yyyymmdd"))</f>
        <v>3|CENTRAL PARKIING SYSTEM CHILE|-|20260228</v>
      </c>
      <c r="AE669" s="4"/>
      <c r="AF669" s="4"/>
    </row>
    <row r="670" spans="1:32" x14ac:dyDescent="0.2">
      <c r="A670" s="5">
        <v>-9</v>
      </c>
      <c r="B670" s="6" t="s">
        <v>147</v>
      </c>
      <c r="C670" s="6" t="s">
        <v>147</v>
      </c>
      <c r="D670" s="6" t="s">
        <v>10</v>
      </c>
      <c r="E670" s="5">
        <v>9045</v>
      </c>
      <c r="G670" s="9" t="s">
        <v>9</v>
      </c>
      <c r="H670" s="9">
        <v>46081</v>
      </c>
      <c r="I670" s="6" t="s">
        <v>2</v>
      </c>
      <c r="L670" s="18">
        <v>1</v>
      </c>
      <c r="M670" s="19">
        <v>0.84</v>
      </c>
      <c r="N670" s="18">
        <v>0.84</v>
      </c>
      <c r="T670" s="4"/>
      <c r="U670" s="4"/>
      <c r="V670" s="4"/>
      <c r="W670" s="4"/>
      <c r="X670" s="4"/>
      <c r="Y670" s="4"/>
      <c r="Z670" s="4"/>
      <c r="AA670" s="4"/>
      <c r="AD670" s="20" t="str">
        <f>IF((B670="")+(B670="Vacante")+(D670=""),"",IFERROR(MATCH(D670,{"Oficinas";"Locales";"Estacionamientos";"Bodegas"},0),5)&amp;"|"&amp;B670&amp;"|"&amp;TEXT(G670,"yyyymmdd")&amp;"|"&amp;TEXT(H670,"yyyymmdd"))</f>
        <v>3|CENTRAL PARKIING SYSTEM CHILE|-|20260228</v>
      </c>
      <c r="AE670" s="4"/>
      <c r="AF670" s="4"/>
    </row>
    <row r="671" spans="1:32" x14ac:dyDescent="0.2">
      <c r="A671" s="5">
        <v>-9</v>
      </c>
      <c r="B671" s="6" t="s">
        <v>147</v>
      </c>
      <c r="C671" s="6" t="s">
        <v>147</v>
      </c>
      <c r="D671" s="6" t="s">
        <v>10</v>
      </c>
      <c r="E671" s="5">
        <v>9046</v>
      </c>
      <c r="G671" s="9" t="s">
        <v>9</v>
      </c>
      <c r="H671" s="9">
        <v>46081</v>
      </c>
      <c r="I671" s="6" t="s">
        <v>2</v>
      </c>
      <c r="L671" s="18">
        <v>1</v>
      </c>
      <c r="M671" s="19">
        <v>0.84</v>
      </c>
      <c r="N671" s="18">
        <v>0.84</v>
      </c>
      <c r="T671" s="4"/>
      <c r="U671" s="4"/>
      <c r="V671" s="4"/>
      <c r="W671" s="4"/>
      <c r="X671" s="4"/>
      <c r="Y671" s="4"/>
      <c r="Z671" s="4"/>
      <c r="AA671" s="4"/>
      <c r="AD671" s="20" t="str">
        <f>IF((B671="")+(B671="Vacante")+(D671=""),"",IFERROR(MATCH(D671,{"Oficinas";"Locales";"Estacionamientos";"Bodegas"},0),5)&amp;"|"&amp;B671&amp;"|"&amp;TEXT(G671,"yyyymmdd")&amp;"|"&amp;TEXT(H671,"yyyymmdd"))</f>
        <v>3|CENTRAL PARKIING SYSTEM CHILE|-|20260228</v>
      </c>
      <c r="AE671" s="4"/>
      <c r="AF671" s="4"/>
    </row>
    <row r="672" spans="1:32" x14ac:dyDescent="0.2">
      <c r="A672" s="5">
        <v>-9</v>
      </c>
      <c r="B672" s="6" t="s">
        <v>147</v>
      </c>
      <c r="C672" s="6" t="s">
        <v>147</v>
      </c>
      <c r="D672" s="6" t="s">
        <v>10</v>
      </c>
      <c r="E672" s="5">
        <v>9047</v>
      </c>
      <c r="G672" s="9" t="s">
        <v>9</v>
      </c>
      <c r="H672" s="9">
        <v>46081</v>
      </c>
      <c r="I672" s="6" t="s">
        <v>2</v>
      </c>
      <c r="L672" s="18">
        <v>1</v>
      </c>
      <c r="M672" s="19">
        <v>0.84</v>
      </c>
      <c r="N672" s="18">
        <v>0.84</v>
      </c>
      <c r="T672" s="4"/>
      <c r="U672" s="4"/>
      <c r="V672" s="4"/>
      <c r="W672" s="4"/>
      <c r="X672" s="4"/>
      <c r="Y672" s="4"/>
      <c r="Z672" s="4"/>
      <c r="AA672" s="4"/>
      <c r="AD672" s="20" t="str">
        <f>IF((B672="")+(B672="Vacante")+(D672=""),"",IFERROR(MATCH(D672,{"Oficinas";"Locales";"Estacionamientos";"Bodegas"},0),5)&amp;"|"&amp;B672&amp;"|"&amp;TEXT(G672,"yyyymmdd")&amp;"|"&amp;TEXT(H672,"yyyymmdd"))</f>
        <v>3|CENTRAL PARKIING SYSTEM CHILE|-|20260228</v>
      </c>
      <c r="AE672" s="4"/>
      <c r="AF672" s="4"/>
    </row>
    <row r="673" spans="1:32" x14ac:dyDescent="0.2">
      <c r="A673" s="5">
        <v>-9</v>
      </c>
      <c r="B673" s="6" t="s">
        <v>147</v>
      </c>
      <c r="C673" s="6" t="s">
        <v>147</v>
      </c>
      <c r="D673" s="6" t="s">
        <v>10</v>
      </c>
      <c r="E673" s="5">
        <v>9048</v>
      </c>
      <c r="G673" s="9" t="s">
        <v>9</v>
      </c>
      <c r="H673" s="9">
        <v>46081</v>
      </c>
      <c r="I673" s="6" t="s">
        <v>2</v>
      </c>
      <c r="L673" s="18">
        <v>1</v>
      </c>
      <c r="M673" s="19">
        <v>0.84</v>
      </c>
      <c r="N673" s="18">
        <v>0.84</v>
      </c>
      <c r="T673" s="4"/>
      <c r="U673" s="4"/>
      <c r="V673" s="4"/>
      <c r="W673" s="4"/>
      <c r="X673" s="4"/>
      <c r="Y673" s="4"/>
      <c r="Z673" s="4"/>
      <c r="AA673" s="4"/>
      <c r="AD673" s="20" t="str">
        <f>IF((B673="")+(B673="Vacante")+(D673=""),"",IFERROR(MATCH(D673,{"Oficinas";"Locales";"Estacionamientos";"Bodegas"},0),5)&amp;"|"&amp;B673&amp;"|"&amp;TEXT(G673,"yyyymmdd")&amp;"|"&amp;TEXT(H673,"yyyymmdd"))</f>
        <v>3|CENTRAL PARKIING SYSTEM CHILE|-|20260228</v>
      </c>
      <c r="AE673" s="4"/>
      <c r="AF673" s="4"/>
    </row>
    <row r="674" spans="1:32" x14ac:dyDescent="0.2">
      <c r="A674" s="5">
        <v>-9</v>
      </c>
      <c r="B674" s="6" t="s">
        <v>147</v>
      </c>
      <c r="C674" s="6" t="s">
        <v>147</v>
      </c>
      <c r="D674" s="6" t="s">
        <v>10</v>
      </c>
      <c r="E674" s="5">
        <v>9049</v>
      </c>
      <c r="G674" s="9" t="s">
        <v>9</v>
      </c>
      <c r="H674" s="9">
        <v>46081</v>
      </c>
      <c r="I674" s="6" t="s">
        <v>2</v>
      </c>
      <c r="L674" s="18">
        <v>1</v>
      </c>
      <c r="M674" s="19">
        <v>0.84</v>
      </c>
      <c r="N674" s="18">
        <v>0.84</v>
      </c>
      <c r="T674" s="4"/>
      <c r="U674" s="4"/>
      <c r="V674" s="4"/>
      <c r="W674" s="4"/>
      <c r="X674" s="4"/>
      <c r="Y674" s="4"/>
      <c r="Z674" s="4"/>
      <c r="AA674" s="4"/>
      <c r="AD674" s="20" t="str">
        <f>IF((B674="")+(B674="Vacante")+(D674=""),"",IFERROR(MATCH(D674,{"Oficinas";"Locales";"Estacionamientos";"Bodegas"},0),5)&amp;"|"&amp;B674&amp;"|"&amp;TEXT(G674,"yyyymmdd")&amp;"|"&amp;TEXT(H674,"yyyymmdd"))</f>
        <v>3|CENTRAL PARKIING SYSTEM CHILE|-|20260228</v>
      </c>
      <c r="AE674" s="4"/>
      <c r="AF674" s="4"/>
    </row>
    <row r="675" spans="1:32" x14ac:dyDescent="0.2">
      <c r="A675" s="5">
        <v>-9</v>
      </c>
      <c r="B675" s="6" t="s">
        <v>147</v>
      </c>
      <c r="C675" s="6" t="s">
        <v>147</v>
      </c>
      <c r="D675" s="6" t="s">
        <v>10</v>
      </c>
      <c r="E675" s="5">
        <v>9050</v>
      </c>
      <c r="G675" s="9" t="s">
        <v>9</v>
      </c>
      <c r="H675" s="9">
        <v>46081</v>
      </c>
      <c r="I675" s="6" t="s">
        <v>2</v>
      </c>
      <c r="L675" s="18">
        <v>1</v>
      </c>
      <c r="M675" s="19">
        <v>0.84</v>
      </c>
      <c r="N675" s="18">
        <v>0.84</v>
      </c>
      <c r="T675" s="4"/>
      <c r="U675" s="4"/>
      <c r="V675" s="4"/>
      <c r="W675" s="4"/>
      <c r="X675" s="4"/>
      <c r="Y675" s="4"/>
      <c r="Z675" s="4"/>
      <c r="AA675" s="4"/>
      <c r="AD675" s="20" t="str">
        <f>IF((B675="")+(B675="Vacante")+(D675=""),"",IFERROR(MATCH(D675,{"Oficinas";"Locales";"Estacionamientos";"Bodegas"},0),5)&amp;"|"&amp;B675&amp;"|"&amp;TEXT(G675,"yyyymmdd")&amp;"|"&amp;TEXT(H675,"yyyymmdd"))</f>
        <v>3|CENTRAL PARKIING SYSTEM CHILE|-|20260228</v>
      </c>
      <c r="AE675" s="4"/>
      <c r="AF675" s="4"/>
    </row>
    <row r="676" spans="1:32" x14ac:dyDescent="0.2">
      <c r="A676" s="5">
        <v>-9</v>
      </c>
      <c r="B676" s="6" t="s">
        <v>147</v>
      </c>
      <c r="C676" s="6" t="s">
        <v>147</v>
      </c>
      <c r="D676" s="6" t="s">
        <v>10</v>
      </c>
      <c r="E676" s="5">
        <v>9051</v>
      </c>
      <c r="G676" s="9" t="s">
        <v>9</v>
      </c>
      <c r="H676" s="9">
        <v>46081</v>
      </c>
      <c r="I676" s="6" t="s">
        <v>2</v>
      </c>
      <c r="L676" s="18">
        <v>1</v>
      </c>
      <c r="M676" s="19">
        <v>0.84</v>
      </c>
      <c r="N676" s="18">
        <v>0.84</v>
      </c>
      <c r="T676" s="4"/>
      <c r="U676" s="4"/>
      <c r="V676" s="4"/>
      <c r="W676" s="4"/>
      <c r="X676" s="4"/>
      <c r="Y676" s="4"/>
      <c r="Z676" s="4"/>
      <c r="AA676" s="4"/>
      <c r="AD676" s="20" t="str">
        <f>IF((B676="")+(B676="Vacante")+(D676=""),"",IFERROR(MATCH(D676,{"Oficinas";"Locales";"Estacionamientos";"Bodegas"},0),5)&amp;"|"&amp;B676&amp;"|"&amp;TEXT(G676,"yyyymmdd")&amp;"|"&amp;TEXT(H676,"yyyymmdd"))</f>
        <v>3|CENTRAL PARKIING SYSTEM CHILE|-|20260228</v>
      </c>
      <c r="AE676" s="4"/>
      <c r="AF676" s="4"/>
    </row>
    <row r="677" spans="1:32" x14ac:dyDescent="0.2">
      <c r="A677" s="5">
        <v>-9</v>
      </c>
      <c r="B677" s="6" t="s">
        <v>147</v>
      </c>
      <c r="C677" s="6" t="s">
        <v>147</v>
      </c>
      <c r="D677" s="6" t="s">
        <v>10</v>
      </c>
      <c r="E677" s="5">
        <v>9052</v>
      </c>
      <c r="F677" s="6" t="s">
        <v>163</v>
      </c>
      <c r="G677" s="9" t="s">
        <v>9</v>
      </c>
      <c r="H677" s="9">
        <v>46081</v>
      </c>
      <c r="I677" s="6" t="s">
        <v>2</v>
      </c>
      <c r="L677" s="18">
        <v>1</v>
      </c>
      <c r="M677" s="19">
        <v>0.84</v>
      </c>
      <c r="N677" s="18">
        <v>0.84</v>
      </c>
      <c r="T677" s="4"/>
      <c r="U677" s="4"/>
      <c r="V677" s="4"/>
      <c r="W677" s="4"/>
      <c r="X677" s="4"/>
      <c r="Y677" s="4"/>
      <c r="Z677" s="4"/>
      <c r="AA677" s="4"/>
      <c r="AD677" s="20" t="str">
        <f>IF((B677="")+(B677="Vacante")+(D677=""),"",IFERROR(MATCH(D677,{"Oficinas";"Locales";"Estacionamientos";"Bodegas"},0),5)&amp;"|"&amp;B677&amp;"|"&amp;TEXT(G677,"yyyymmdd")&amp;"|"&amp;TEXT(H677,"yyyymmdd"))</f>
        <v>3|CENTRAL PARKIING SYSTEM CHILE|-|20260228</v>
      </c>
      <c r="AE677" s="4"/>
      <c r="AF677" s="4"/>
    </row>
    <row r="678" spans="1:32" x14ac:dyDescent="0.2">
      <c r="A678" s="5">
        <v>-9</v>
      </c>
      <c r="B678" s="6" t="s">
        <v>147</v>
      </c>
      <c r="C678" s="6" t="s">
        <v>147</v>
      </c>
      <c r="D678" s="6" t="s">
        <v>10</v>
      </c>
      <c r="E678" s="5">
        <v>9053</v>
      </c>
      <c r="F678" s="6" t="s">
        <v>164</v>
      </c>
      <c r="G678" s="9" t="s">
        <v>9</v>
      </c>
      <c r="H678" s="9">
        <v>46081</v>
      </c>
      <c r="I678" s="6" t="s">
        <v>2</v>
      </c>
      <c r="L678" s="18">
        <v>1</v>
      </c>
      <c r="M678" s="19">
        <v>0.84</v>
      </c>
      <c r="N678" s="18">
        <v>0.84</v>
      </c>
      <c r="T678" s="4"/>
      <c r="U678" s="4"/>
      <c r="V678" s="4"/>
      <c r="W678" s="4"/>
      <c r="X678" s="4"/>
      <c r="Y678" s="4"/>
      <c r="Z678" s="4"/>
      <c r="AA678" s="4"/>
      <c r="AD678" s="20" t="str">
        <f>IF((B678="")+(B678="Vacante")+(D678=""),"",IFERROR(MATCH(D678,{"Oficinas";"Locales";"Estacionamientos";"Bodegas"},0),5)&amp;"|"&amp;B678&amp;"|"&amp;TEXT(G678,"yyyymmdd")&amp;"|"&amp;TEXT(H678,"yyyymmdd"))</f>
        <v>3|CENTRAL PARKIING SYSTEM CHILE|-|20260228</v>
      </c>
      <c r="AE678" s="4"/>
      <c r="AF678" s="4"/>
    </row>
    <row r="679" spans="1:32" x14ac:dyDescent="0.2">
      <c r="A679" s="5">
        <v>-9</v>
      </c>
      <c r="B679" s="6" t="s">
        <v>147</v>
      </c>
      <c r="C679" s="6" t="s">
        <v>147</v>
      </c>
      <c r="D679" s="6" t="s">
        <v>10</v>
      </c>
      <c r="E679" s="5">
        <v>9054</v>
      </c>
      <c r="F679" s="6" t="s">
        <v>165</v>
      </c>
      <c r="G679" s="9" t="s">
        <v>9</v>
      </c>
      <c r="H679" s="9">
        <v>46081</v>
      </c>
      <c r="I679" s="6" t="s">
        <v>2</v>
      </c>
      <c r="L679" s="18">
        <v>1</v>
      </c>
      <c r="M679" s="19">
        <v>0.84</v>
      </c>
      <c r="N679" s="18">
        <v>0.84</v>
      </c>
      <c r="T679" s="4"/>
      <c r="U679" s="4"/>
      <c r="V679" s="4"/>
      <c r="W679" s="4"/>
      <c r="X679" s="4"/>
      <c r="Y679" s="4"/>
      <c r="Z679" s="4"/>
      <c r="AA679" s="4"/>
      <c r="AD679" s="20" t="str">
        <f>IF((B679="")+(B679="Vacante")+(D679=""),"",IFERROR(MATCH(D679,{"Oficinas";"Locales";"Estacionamientos";"Bodegas"},0),5)&amp;"|"&amp;B679&amp;"|"&amp;TEXT(G679,"yyyymmdd")&amp;"|"&amp;TEXT(H679,"yyyymmdd"))</f>
        <v>3|CENTRAL PARKIING SYSTEM CHILE|-|20260228</v>
      </c>
      <c r="AE679" s="4"/>
      <c r="AF679" s="4"/>
    </row>
    <row r="680" spans="1:32" x14ac:dyDescent="0.2">
      <c r="A680" s="5">
        <v>-9</v>
      </c>
      <c r="B680" s="6" t="s">
        <v>147</v>
      </c>
      <c r="C680" s="6" t="s">
        <v>147</v>
      </c>
      <c r="D680" s="6" t="s">
        <v>10</v>
      </c>
      <c r="E680" s="5">
        <v>9055</v>
      </c>
      <c r="G680" s="9" t="s">
        <v>9</v>
      </c>
      <c r="H680" s="9">
        <v>46081</v>
      </c>
      <c r="I680" s="6" t="s">
        <v>2</v>
      </c>
      <c r="L680" s="18">
        <v>1</v>
      </c>
      <c r="M680" s="19">
        <v>0.84</v>
      </c>
      <c r="N680" s="18">
        <v>0.84</v>
      </c>
      <c r="T680" s="4"/>
      <c r="U680" s="4"/>
      <c r="V680" s="4"/>
      <c r="W680" s="4"/>
      <c r="X680" s="4"/>
      <c r="Y680" s="4"/>
      <c r="Z680" s="4"/>
      <c r="AA680" s="4"/>
      <c r="AD680" s="20" t="str">
        <f>IF((B680="")+(B680="Vacante")+(D680=""),"",IFERROR(MATCH(D680,{"Oficinas";"Locales";"Estacionamientos";"Bodegas"},0),5)&amp;"|"&amp;B680&amp;"|"&amp;TEXT(G680,"yyyymmdd")&amp;"|"&amp;TEXT(H680,"yyyymmdd"))</f>
        <v>3|CENTRAL PARKIING SYSTEM CHILE|-|20260228</v>
      </c>
      <c r="AE680" s="4"/>
      <c r="AF680" s="4"/>
    </row>
    <row r="681" spans="1:32" x14ac:dyDescent="0.2">
      <c r="A681" s="5">
        <v>-9</v>
      </c>
      <c r="B681" s="6" t="s">
        <v>147</v>
      </c>
      <c r="C681" s="6" t="s">
        <v>147</v>
      </c>
      <c r="D681" s="6" t="s">
        <v>10</v>
      </c>
      <c r="E681" s="5">
        <v>9056</v>
      </c>
      <c r="F681" s="6" t="s">
        <v>166</v>
      </c>
      <c r="G681" s="9" t="s">
        <v>9</v>
      </c>
      <c r="H681" s="9">
        <v>46081</v>
      </c>
      <c r="I681" s="6" t="s">
        <v>2</v>
      </c>
      <c r="L681" s="18">
        <v>1</v>
      </c>
      <c r="M681" s="19">
        <v>0.84</v>
      </c>
      <c r="N681" s="18">
        <v>0.84</v>
      </c>
      <c r="T681" s="4"/>
      <c r="U681" s="4"/>
      <c r="V681" s="4"/>
      <c r="W681" s="4"/>
      <c r="X681" s="4"/>
      <c r="Y681" s="4"/>
      <c r="Z681" s="4"/>
      <c r="AA681" s="4"/>
      <c r="AD681" s="20" t="str">
        <f>IF((B681="")+(B681="Vacante")+(D681=""),"",IFERROR(MATCH(D681,{"Oficinas";"Locales";"Estacionamientos";"Bodegas"},0),5)&amp;"|"&amp;B681&amp;"|"&amp;TEXT(G681,"yyyymmdd")&amp;"|"&amp;TEXT(H681,"yyyymmdd"))</f>
        <v>3|CENTRAL PARKIING SYSTEM CHILE|-|20260228</v>
      </c>
      <c r="AE681" s="4"/>
      <c r="AF681" s="4"/>
    </row>
    <row r="682" spans="1:32" x14ac:dyDescent="0.2">
      <c r="A682" s="5">
        <v>-9</v>
      </c>
      <c r="B682" s="6" t="s">
        <v>147</v>
      </c>
      <c r="C682" s="6" t="s">
        <v>147</v>
      </c>
      <c r="D682" s="6" t="s">
        <v>10</v>
      </c>
      <c r="E682" s="5">
        <v>9057</v>
      </c>
      <c r="F682" s="6" t="s">
        <v>167</v>
      </c>
      <c r="G682" s="9" t="s">
        <v>9</v>
      </c>
      <c r="H682" s="9">
        <v>46081</v>
      </c>
      <c r="I682" s="6" t="s">
        <v>2</v>
      </c>
      <c r="L682" s="18">
        <v>1</v>
      </c>
      <c r="M682" s="19">
        <v>0.84</v>
      </c>
      <c r="N682" s="18">
        <v>0.84</v>
      </c>
      <c r="T682" s="4"/>
      <c r="U682" s="4"/>
      <c r="V682" s="4"/>
      <c r="W682" s="4"/>
      <c r="X682" s="4"/>
      <c r="Y682" s="4"/>
      <c r="Z682" s="4"/>
      <c r="AA682" s="4"/>
      <c r="AD682" s="20" t="str">
        <f>IF((B682="")+(B682="Vacante")+(D682=""),"",IFERROR(MATCH(D682,{"Oficinas";"Locales";"Estacionamientos";"Bodegas"},0),5)&amp;"|"&amp;B682&amp;"|"&amp;TEXT(G682,"yyyymmdd")&amp;"|"&amp;TEXT(H682,"yyyymmdd"))</f>
        <v>3|CENTRAL PARKIING SYSTEM CHILE|-|20260228</v>
      </c>
      <c r="AE682" s="4"/>
      <c r="AF682" s="4"/>
    </row>
    <row r="683" spans="1:32" x14ac:dyDescent="0.2">
      <c r="A683" s="5">
        <v>-9</v>
      </c>
      <c r="B683" s="6" t="s">
        <v>147</v>
      </c>
      <c r="C683" s="6" t="s">
        <v>147</v>
      </c>
      <c r="D683" s="6" t="s">
        <v>10</v>
      </c>
      <c r="E683" s="5">
        <v>9058</v>
      </c>
      <c r="F683" s="6" t="s">
        <v>168</v>
      </c>
      <c r="G683" s="9" t="s">
        <v>9</v>
      </c>
      <c r="H683" s="9">
        <v>46081</v>
      </c>
      <c r="I683" s="6" t="s">
        <v>2</v>
      </c>
      <c r="L683" s="18">
        <v>1</v>
      </c>
      <c r="M683" s="19">
        <v>0.84</v>
      </c>
      <c r="N683" s="18">
        <v>0.84</v>
      </c>
      <c r="T683" s="4"/>
      <c r="U683" s="4"/>
      <c r="V683" s="4"/>
      <c r="W683" s="4"/>
      <c r="X683" s="4"/>
      <c r="Y683" s="4"/>
      <c r="Z683" s="4"/>
      <c r="AA683" s="4"/>
      <c r="AD683" s="20" t="str">
        <f>IF((B683="")+(B683="Vacante")+(D683=""),"",IFERROR(MATCH(D683,{"Oficinas";"Locales";"Estacionamientos";"Bodegas"},0),5)&amp;"|"&amp;B683&amp;"|"&amp;TEXT(G683,"yyyymmdd")&amp;"|"&amp;TEXT(H683,"yyyymmdd"))</f>
        <v>3|CENTRAL PARKIING SYSTEM CHILE|-|20260228</v>
      </c>
      <c r="AE683" s="4"/>
      <c r="AF683" s="4"/>
    </row>
    <row r="684" spans="1:32" x14ac:dyDescent="0.2">
      <c r="A684" s="5">
        <v>-9</v>
      </c>
      <c r="B684" s="6" t="s">
        <v>147</v>
      </c>
      <c r="C684" s="6" t="s">
        <v>147</v>
      </c>
      <c r="D684" s="6" t="s">
        <v>10</v>
      </c>
      <c r="E684" s="5">
        <v>9059</v>
      </c>
      <c r="F684" s="6" t="s">
        <v>169</v>
      </c>
      <c r="G684" s="9" t="s">
        <v>9</v>
      </c>
      <c r="H684" s="9">
        <v>46081</v>
      </c>
      <c r="I684" s="6" t="s">
        <v>2</v>
      </c>
      <c r="L684" s="18">
        <v>1</v>
      </c>
      <c r="M684" s="19">
        <v>0.84</v>
      </c>
      <c r="N684" s="18">
        <v>0.84</v>
      </c>
      <c r="T684" s="4"/>
      <c r="U684" s="4"/>
      <c r="V684" s="4"/>
      <c r="W684" s="4"/>
      <c r="X684" s="4"/>
      <c r="Y684" s="4"/>
      <c r="Z684" s="4"/>
      <c r="AA684" s="4"/>
      <c r="AD684" s="20" t="str">
        <f>IF((B684="")+(B684="Vacante")+(D684=""),"",IFERROR(MATCH(D684,{"Oficinas";"Locales";"Estacionamientos";"Bodegas"},0),5)&amp;"|"&amp;B684&amp;"|"&amp;TEXT(G684,"yyyymmdd")&amp;"|"&amp;TEXT(H684,"yyyymmdd"))</f>
        <v>3|CENTRAL PARKIING SYSTEM CHILE|-|20260228</v>
      </c>
      <c r="AE684" s="4"/>
      <c r="AF684" s="4"/>
    </row>
    <row r="685" spans="1:32" x14ac:dyDescent="0.2">
      <c r="A685" s="5">
        <v>-9</v>
      </c>
      <c r="B685" s="6" t="s">
        <v>147</v>
      </c>
      <c r="C685" s="6" t="s">
        <v>147</v>
      </c>
      <c r="D685" s="6" t="s">
        <v>10</v>
      </c>
      <c r="E685" s="5">
        <v>9060</v>
      </c>
      <c r="G685" s="9" t="s">
        <v>9</v>
      </c>
      <c r="H685" s="9">
        <v>46081</v>
      </c>
      <c r="I685" s="6" t="s">
        <v>2</v>
      </c>
      <c r="L685" s="18">
        <v>1</v>
      </c>
      <c r="M685" s="19">
        <v>0.84</v>
      </c>
      <c r="N685" s="18">
        <v>0.84</v>
      </c>
      <c r="T685" s="4"/>
      <c r="U685" s="4"/>
      <c r="V685" s="4"/>
      <c r="W685" s="4"/>
      <c r="X685" s="4"/>
      <c r="Y685" s="4"/>
      <c r="Z685" s="4"/>
      <c r="AA685" s="4"/>
      <c r="AD685" s="20" t="str">
        <f>IF((B685="")+(B685="Vacante")+(D685=""),"",IFERROR(MATCH(D685,{"Oficinas";"Locales";"Estacionamientos";"Bodegas"},0),5)&amp;"|"&amp;B685&amp;"|"&amp;TEXT(G685,"yyyymmdd")&amp;"|"&amp;TEXT(H685,"yyyymmdd"))</f>
        <v>3|CENTRAL PARKIING SYSTEM CHILE|-|20260228</v>
      </c>
      <c r="AE685" s="4"/>
      <c r="AF685" s="4"/>
    </row>
    <row r="686" spans="1:32" x14ac:dyDescent="0.2">
      <c r="A686" s="5">
        <v>-9</v>
      </c>
      <c r="B686" s="6" t="s">
        <v>147</v>
      </c>
      <c r="C686" s="6" t="s">
        <v>147</v>
      </c>
      <c r="D686" s="6" t="s">
        <v>10</v>
      </c>
      <c r="E686" s="5">
        <v>9061</v>
      </c>
      <c r="G686" s="9" t="s">
        <v>9</v>
      </c>
      <c r="H686" s="9">
        <v>46081</v>
      </c>
      <c r="I686" s="6" t="s">
        <v>2</v>
      </c>
      <c r="L686" s="18">
        <v>1</v>
      </c>
      <c r="M686" s="19">
        <v>0.84</v>
      </c>
      <c r="N686" s="18">
        <v>0.84</v>
      </c>
      <c r="T686" s="4"/>
      <c r="U686" s="4"/>
      <c r="V686" s="4"/>
      <c r="W686" s="4"/>
      <c r="X686" s="4"/>
      <c r="Y686" s="4"/>
      <c r="Z686" s="4"/>
      <c r="AA686" s="4"/>
      <c r="AD686" s="20" t="str">
        <f>IF((B686="")+(B686="Vacante")+(D686=""),"",IFERROR(MATCH(D686,{"Oficinas";"Locales";"Estacionamientos";"Bodegas"},0),5)&amp;"|"&amp;B686&amp;"|"&amp;TEXT(G686,"yyyymmdd")&amp;"|"&amp;TEXT(H686,"yyyymmdd"))</f>
        <v>3|CENTRAL PARKIING SYSTEM CHILE|-|20260228</v>
      </c>
      <c r="AE686" s="4"/>
      <c r="AF686" s="4"/>
    </row>
    <row r="687" spans="1:32" x14ac:dyDescent="0.2">
      <c r="A687" s="5">
        <v>-9</v>
      </c>
      <c r="B687" s="6" t="s">
        <v>147</v>
      </c>
      <c r="C687" s="6" t="s">
        <v>147</v>
      </c>
      <c r="D687" s="6" t="s">
        <v>10</v>
      </c>
      <c r="E687" s="5">
        <v>9062</v>
      </c>
      <c r="G687" s="9" t="s">
        <v>9</v>
      </c>
      <c r="H687" s="9">
        <v>46081</v>
      </c>
      <c r="I687" s="6" t="s">
        <v>2</v>
      </c>
      <c r="L687" s="18">
        <v>1</v>
      </c>
      <c r="M687" s="19">
        <v>0.84</v>
      </c>
      <c r="N687" s="18">
        <v>0.84</v>
      </c>
      <c r="T687" s="4"/>
      <c r="U687" s="4"/>
      <c r="V687" s="4"/>
      <c r="W687" s="4"/>
      <c r="X687" s="4"/>
      <c r="Y687" s="4"/>
      <c r="Z687" s="4"/>
      <c r="AA687" s="4"/>
      <c r="AD687" s="20" t="str">
        <f>IF((B687="")+(B687="Vacante")+(D687=""),"",IFERROR(MATCH(D687,{"Oficinas";"Locales";"Estacionamientos";"Bodegas"},0),5)&amp;"|"&amp;B687&amp;"|"&amp;TEXT(G687,"yyyymmdd")&amp;"|"&amp;TEXT(H687,"yyyymmdd"))</f>
        <v>3|CENTRAL PARKIING SYSTEM CHILE|-|20260228</v>
      </c>
      <c r="AE687" s="4"/>
      <c r="AF687" s="4"/>
    </row>
    <row r="688" spans="1:32" x14ac:dyDescent="0.2">
      <c r="A688" s="5">
        <v>-9</v>
      </c>
      <c r="B688" s="6" t="s">
        <v>147</v>
      </c>
      <c r="C688" s="6" t="s">
        <v>147</v>
      </c>
      <c r="D688" s="6" t="s">
        <v>10</v>
      </c>
      <c r="E688" s="5">
        <v>9063</v>
      </c>
      <c r="G688" s="9" t="s">
        <v>9</v>
      </c>
      <c r="H688" s="9">
        <v>46081</v>
      </c>
      <c r="I688" s="6" t="s">
        <v>2</v>
      </c>
      <c r="L688" s="18">
        <v>1</v>
      </c>
      <c r="M688" s="19">
        <v>0.84</v>
      </c>
      <c r="N688" s="18">
        <v>0.84</v>
      </c>
      <c r="T688" s="4"/>
      <c r="U688" s="4"/>
      <c r="V688" s="4"/>
      <c r="W688" s="4"/>
      <c r="X688" s="4"/>
      <c r="Y688" s="4"/>
      <c r="Z688" s="4"/>
      <c r="AA688" s="4"/>
      <c r="AD688" s="20" t="str">
        <f>IF((B688="")+(B688="Vacante")+(D688=""),"",IFERROR(MATCH(D688,{"Oficinas";"Locales";"Estacionamientos";"Bodegas"},0),5)&amp;"|"&amp;B688&amp;"|"&amp;TEXT(G688,"yyyymmdd")&amp;"|"&amp;TEXT(H688,"yyyymmdd"))</f>
        <v>3|CENTRAL PARKIING SYSTEM CHILE|-|20260228</v>
      </c>
      <c r="AE688" s="4"/>
      <c r="AF688" s="4"/>
    </row>
    <row r="689" spans="1:32" x14ac:dyDescent="0.2">
      <c r="A689" s="5">
        <v>-9</v>
      </c>
      <c r="B689" s="6" t="s">
        <v>147</v>
      </c>
      <c r="C689" s="6" t="s">
        <v>147</v>
      </c>
      <c r="D689" s="6" t="s">
        <v>10</v>
      </c>
      <c r="E689" s="5">
        <v>9064</v>
      </c>
      <c r="G689" s="9" t="s">
        <v>9</v>
      </c>
      <c r="H689" s="9">
        <v>46081</v>
      </c>
      <c r="I689" s="6" t="s">
        <v>2</v>
      </c>
      <c r="L689" s="18">
        <v>1</v>
      </c>
      <c r="M689" s="19">
        <v>0.84</v>
      </c>
      <c r="N689" s="18">
        <v>0.84</v>
      </c>
      <c r="T689" s="4"/>
      <c r="U689" s="4"/>
      <c r="V689" s="4"/>
      <c r="W689" s="4"/>
      <c r="X689" s="4"/>
      <c r="Y689" s="4"/>
      <c r="Z689" s="4"/>
      <c r="AA689" s="4"/>
      <c r="AD689" s="20" t="str">
        <f>IF((B689="")+(B689="Vacante")+(D689=""),"",IFERROR(MATCH(D689,{"Oficinas";"Locales";"Estacionamientos";"Bodegas"},0),5)&amp;"|"&amp;B689&amp;"|"&amp;TEXT(G689,"yyyymmdd")&amp;"|"&amp;TEXT(H689,"yyyymmdd"))</f>
        <v>3|CENTRAL PARKIING SYSTEM CHILE|-|20260228</v>
      </c>
      <c r="AE689" s="4"/>
      <c r="AF689" s="4"/>
    </row>
    <row r="690" spans="1:32" x14ac:dyDescent="0.2">
      <c r="A690" s="5">
        <v>-9</v>
      </c>
      <c r="B690" s="6" t="s">
        <v>147</v>
      </c>
      <c r="C690" s="6" t="s">
        <v>147</v>
      </c>
      <c r="D690" s="6" t="s">
        <v>10</v>
      </c>
      <c r="E690" s="5">
        <v>9065</v>
      </c>
      <c r="G690" s="9" t="s">
        <v>9</v>
      </c>
      <c r="H690" s="9">
        <v>46081</v>
      </c>
      <c r="I690" s="6" t="s">
        <v>2</v>
      </c>
      <c r="L690" s="18">
        <v>1</v>
      </c>
      <c r="M690" s="19">
        <v>0.84</v>
      </c>
      <c r="N690" s="18">
        <v>0.84</v>
      </c>
      <c r="T690" s="4"/>
      <c r="U690" s="4"/>
      <c r="V690" s="4"/>
      <c r="W690" s="4"/>
      <c r="X690" s="4"/>
      <c r="Y690" s="4"/>
      <c r="Z690" s="4"/>
      <c r="AA690" s="4"/>
      <c r="AD690" s="20" t="str">
        <f>IF((B690="")+(B690="Vacante")+(D690=""),"",IFERROR(MATCH(D690,{"Oficinas";"Locales";"Estacionamientos";"Bodegas"},0),5)&amp;"|"&amp;B690&amp;"|"&amp;TEXT(G690,"yyyymmdd")&amp;"|"&amp;TEXT(H690,"yyyymmdd"))</f>
        <v>3|CENTRAL PARKIING SYSTEM CHILE|-|20260228</v>
      </c>
      <c r="AE690" s="4"/>
      <c r="AF690" s="4"/>
    </row>
    <row r="691" spans="1:32" x14ac:dyDescent="0.2">
      <c r="A691" s="5">
        <v>-9</v>
      </c>
      <c r="B691" s="6" t="s">
        <v>147</v>
      </c>
      <c r="C691" s="6" t="s">
        <v>147</v>
      </c>
      <c r="D691" s="6" t="s">
        <v>10</v>
      </c>
      <c r="E691" s="5">
        <v>9066</v>
      </c>
      <c r="G691" s="9" t="s">
        <v>9</v>
      </c>
      <c r="H691" s="9">
        <v>46081</v>
      </c>
      <c r="I691" s="6" t="s">
        <v>2</v>
      </c>
      <c r="L691" s="18">
        <v>1</v>
      </c>
      <c r="M691" s="19">
        <v>0.84</v>
      </c>
      <c r="N691" s="18">
        <v>0.84</v>
      </c>
      <c r="T691" s="4"/>
      <c r="U691" s="4"/>
      <c r="V691" s="4"/>
      <c r="W691" s="4"/>
      <c r="X691" s="4"/>
      <c r="Y691" s="4"/>
      <c r="Z691" s="4"/>
      <c r="AA691" s="4"/>
      <c r="AD691" s="20" t="str">
        <f>IF((B691="")+(B691="Vacante")+(D691=""),"",IFERROR(MATCH(D691,{"Oficinas";"Locales";"Estacionamientos";"Bodegas"},0),5)&amp;"|"&amp;B691&amp;"|"&amp;TEXT(G691,"yyyymmdd")&amp;"|"&amp;TEXT(H691,"yyyymmdd"))</f>
        <v>3|CENTRAL PARKIING SYSTEM CHILE|-|20260228</v>
      </c>
      <c r="AE691" s="4"/>
      <c r="AF691" s="4"/>
    </row>
    <row r="692" spans="1:32" x14ac:dyDescent="0.2">
      <c r="A692" s="5">
        <v>-9</v>
      </c>
      <c r="B692" s="6" t="s">
        <v>147</v>
      </c>
      <c r="C692" s="6" t="s">
        <v>147</v>
      </c>
      <c r="D692" s="6" t="s">
        <v>10</v>
      </c>
      <c r="E692" s="5">
        <v>9067</v>
      </c>
      <c r="G692" s="9" t="s">
        <v>9</v>
      </c>
      <c r="H692" s="9">
        <v>46081</v>
      </c>
      <c r="I692" s="6" t="s">
        <v>2</v>
      </c>
      <c r="L692" s="18">
        <v>1</v>
      </c>
      <c r="M692" s="19">
        <v>0.84</v>
      </c>
      <c r="N692" s="18">
        <v>0.84</v>
      </c>
      <c r="T692" s="4"/>
      <c r="U692" s="4"/>
      <c r="V692" s="4"/>
      <c r="W692" s="4"/>
      <c r="X692" s="4"/>
      <c r="Y692" s="4"/>
      <c r="Z692" s="4"/>
      <c r="AA692" s="4"/>
      <c r="AD692" s="20" t="str">
        <f>IF((B692="")+(B692="Vacante")+(D692=""),"",IFERROR(MATCH(D692,{"Oficinas";"Locales";"Estacionamientos";"Bodegas"},0),5)&amp;"|"&amp;B692&amp;"|"&amp;TEXT(G692,"yyyymmdd")&amp;"|"&amp;TEXT(H692,"yyyymmdd"))</f>
        <v>3|CENTRAL PARKIING SYSTEM CHILE|-|20260228</v>
      </c>
      <c r="AE692" s="4"/>
      <c r="AF692" s="4"/>
    </row>
    <row r="693" spans="1:32" x14ac:dyDescent="0.2">
      <c r="A693" s="5">
        <v>-9</v>
      </c>
      <c r="B693" s="6" t="s">
        <v>147</v>
      </c>
      <c r="C693" s="6" t="s">
        <v>147</v>
      </c>
      <c r="D693" s="6" t="s">
        <v>10</v>
      </c>
      <c r="E693" s="5">
        <v>9068</v>
      </c>
      <c r="G693" s="9" t="s">
        <v>9</v>
      </c>
      <c r="H693" s="9">
        <v>46081</v>
      </c>
      <c r="I693" s="6" t="s">
        <v>2</v>
      </c>
      <c r="L693" s="18">
        <v>1</v>
      </c>
      <c r="M693" s="19">
        <v>0.84</v>
      </c>
      <c r="N693" s="18">
        <v>0.84</v>
      </c>
      <c r="T693" s="4"/>
      <c r="U693" s="4"/>
      <c r="V693" s="4"/>
      <c r="W693" s="4"/>
      <c r="X693" s="4"/>
      <c r="Y693" s="4"/>
      <c r="Z693" s="4"/>
      <c r="AA693" s="4"/>
      <c r="AD693" s="20" t="str">
        <f>IF((B693="")+(B693="Vacante")+(D693=""),"",IFERROR(MATCH(D693,{"Oficinas";"Locales";"Estacionamientos";"Bodegas"},0),5)&amp;"|"&amp;B693&amp;"|"&amp;TEXT(G693,"yyyymmdd")&amp;"|"&amp;TEXT(H693,"yyyymmdd"))</f>
        <v>3|CENTRAL PARKIING SYSTEM CHILE|-|20260228</v>
      </c>
      <c r="AE693" s="4"/>
      <c r="AF693" s="4"/>
    </row>
    <row r="694" spans="1:32" x14ac:dyDescent="0.2">
      <c r="A694" s="5">
        <v>-9</v>
      </c>
      <c r="B694" s="6" t="s">
        <v>147</v>
      </c>
      <c r="C694" s="6" t="s">
        <v>147</v>
      </c>
      <c r="D694" s="6" t="s">
        <v>10</v>
      </c>
      <c r="E694" s="5">
        <v>9069</v>
      </c>
      <c r="G694" s="9" t="s">
        <v>9</v>
      </c>
      <c r="H694" s="9">
        <v>46081</v>
      </c>
      <c r="I694" s="6" t="s">
        <v>2</v>
      </c>
      <c r="L694" s="18">
        <v>1</v>
      </c>
      <c r="M694" s="19">
        <v>0.84</v>
      </c>
      <c r="N694" s="18">
        <v>0.84</v>
      </c>
      <c r="T694" s="4"/>
      <c r="U694" s="4"/>
      <c r="V694" s="4"/>
      <c r="W694" s="4"/>
      <c r="X694" s="4"/>
      <c r="Y694" s="4"/>
      <c r="Z694" s="4"/>
      <c r="AA694" s="4"/>
      <c r="AD694" s="20" t="str">
        <f>IF((B694="")+(B694="Vacante")+(D694=""),"",IFERROR(MATCH(D694,{"Oficinas";"Locales";"Estacionamientos";"Bodegas"},0),5)&amp;"|"&amp;B694&amp;"|"&amp;TEXT(G694,"yyyymmdd")&amp;"|"&amp;TEXT(H694,"yyyymmdd"))</f>
        <v>3|CENTRAL PARKIING SYSTEM CHILE|-|20260228</v>
      </c>
      <c r="AE694" s="4"/>
      <c r="AF694" s="4"/>
    </row>
    <row r="695" spans="1:32" x14ac:dyDescent="0.2">
      <c r="A695" s="5">
        <v>-9</v>
      </c>
      <c r="B695" s="6" t="s">
        <v>147</v>
      </c>
      <c r="C695" s="6" t="s">
        <v>147</v>
      </c>
      <c r="D695" s="6" t="s">
        <v>10</v>
      </c>
      <c r="E695" s="5">
        <v>9070</v>
      </c>
      <c r="G695" s="9" t="s">
        <v>9</v>
      </c>
      <c r="H695" s="9">
        <v>46081</v>
      </c>
      <c r="I695" s="6" t="s">
        <v>2</v>
      </c>
      <c r="L695" s="18">
        <v>1</v>
      </c>
      <c r="M695" s="19">
        <v>0.84</v>
      </c>
      <c r="N695" s="18">
        <v>0.84</v>
      </c>
      <c r="T695" s="4"/>
      <c r="U695" s="4"/>
      <c r="V695" s="4"/>
      <c r="W695" s="4"/>
      <c r="X695" s="4"/>
      <c r="Y695" s="4"/>
      <c r="Z695" s="4"/>
      <c r="AA695" s="4"/>
      <c r="AD695" s="20" t="str">
        <f>IF((B695="")+(B695="Vacante")+(D695=""),"",IFERROR(MATCH(D695,{"Oficinas";"Locales";"Estacionamientos";"Bodegas"},0),5)&amp;"|"&amp;B695&amp;"|"&amp;TEXT(G695,"yyyymmdd")&amp;"|"&amp;TEXT(H695,"yyyymmdd"))</f>
        <v>3|CENTRAL PARKIING SYSTEM CHILE|-|20260228</v>
      </c>
      <c r="AE695" s="4"/>
      <c r="AF695" s="4"/>
    </row>
    <row r="696" spans="1:32" x14ac:dyDescent="0.2">
      <c r="A696" s="5">
        <v>-9</v>
      </c>
      <c r="B696" s="6" t="s">
        <v>147</v>
      </c>
      <c r="C696" s="6" t="s">
        <v>147</v>
      </c>
      <c r="D696" s="6" t="s">
        <v>10</v>
      </c>
      <c r="E696" s="5">
        <v>9071</v>
      </c>
      <c r="G696" s="9" t="s">
        <v>9</v>
      </c>
      <c r="H696" s="9">
        <v>46081</v>
      </c>
      <c r="I696" s="6" t="s">
        <v>2</v>
      </c>
      <c r="L696" s="18">
        <v>1</v>
      </c>
      <c r="M696" s="19">
        <v>0.84</v>
      </c>
      <c r="N696" s="18">
        <v>0.84</v>
      </c>
      <c r="T696" s="4"/>
      <c r="U696" s="4"/>
      <c r="V696" s="4"/>
      <c r="W696" s="4"/>
      <c r="X696" s="4"/>
      <c r="Y696" s="4"/>
      <c r="Z696" s="4"/>
      <c r="AA696" s="4"/>
      <c r="AD696" s="20" t="str">
        <f>IF((B696="")+(B696="Vacante")+(D696=""),"",IFERROR(MATCH(D696,{"Oficinas";"Locales";"Estacionamientos";"Bodegas"},0),5)&amp;"|"&amp;B696&amp;"|"&amp;TEXT(G696,"yyyymmdd")&amp;"|"&amp;TEXT(H696,"yyyymmdd"))</f>
        <v>3|CENTRAL PARKIING SYSTEM CHILE|-|20260228</v>
      </c>
      <c r="AE696" s="4"/>
      <c r="AF696" s="4"/>
    </row>
    <row r="697" spans="1:32" x14ac:dyDescent="0.2">
      <c r="A697" s="5">
        <v>-9</v>
      </c>
      <c r="B697" s="6" t="s">
        <v>147</v>
      </c>
      <c r="C697" s="6" t="s">
        <v>147</v>
      </c>
      <c r="D697" s="6" t="s">
        <v>10</v>
      </c>
      <c r="E697" s="5">
        <v>9072</v>
      </c>
      <c r="G697" s="9" t="s">
        <v>9</v>
      </c>
      <c r="H697" s="9">
        <v>46081</v>
      </c>
      <c r="I697" s="6" t="s">
        <v>2</v>
      </c>
      <c r="L697" s="18">
        <v>1</v>
      </c>
      <c r="M697" s="19">
        <v>0.84</v>
      </c>
      <c r="N697" s="18">
        <v>0.84</v>
      </c>
      <c r="T697" s="4"/>
      <c r="U697" s="4"/>
      <c r="V697" s="4"/>
      <c r="W697" s="4"/>
      <c r="X697" s="4"/>
      <c r="Y697" s="4"/>
      <c r="Z697" s="4"/>
      <c r="AA697" s="4"/>
      <c r="AD697" s="20" t="str">
        <f>IF((B697="")+(B697="Vacante")+(D697=""),"",IFERROR(MATCH(D697,{"Oficinas";"Locales";"Estacionamientos";"Bodegas"},0),5)&amp;"|"&amp;B697&amp;"|"&amp;TEXT(G697,"yyyymmdd")&amp;"|"&amp;TEXT(H697,"yyyymmdd"))</f>
        <v>3|CENTRAL PARKIING SYSTEM CHILE|-|20260228</v>
      </c>
      <c r="AE697" s="4"/>
      <c r="AF697" s="4"/>
    </row>
    <row r="698" spans="1:32" x14ac:dyDescent="0.2">
      <c r="A698" s="5">
        <v>-9</v>
      </c>
      <c r="B698" s="6" t="s">
        <v>147</v>
      </c>
      <c r="C698" s="6" t="s">
        <v>147</v>
      </c>
      <c r="D698" s="6" t="s">
        <v>10</v>
      </c>
      <c r="E698" s="5">
        <v>9073</v>
      </c>
      <c r="G698" s="9" t="s">
        <v>9</v>
      </c>
      <c r="H698" s="9">
        <v>46081</v>
      </c>
      <c r="I698" s="6" t="s">
        <v>2</v>
      </c>
      <c r="L698" s="18">
        <v>1</v>
      </c>
      <c r="M698" s="19">
        <v>0.84</v>
      </c>
      <c r="N698" s="18">
        <v>0.84</v>
      </c>
      <c r="T698" s="4"/>
      <c r="U698" s="4"/>
      <c r="V698" s="4"/>
      <c r="W698" s="4"/>
      <c r="X698" s="4"/>
      <c r="Y698" s="4"/>
      <c r="Z698" s="4"/>
      <c r="AA698" s="4"/>
      <c r="AD698" s="20" t="str">
        <f>IF((B698="")+(B698="Vacante")+(D698=""),"",IFERROR(MATCH(D698,{"Oficinas";"Locales";"Estacionamientos";"Bodegas"},0),5)&amp;"|"&amp;B698&amp;"|"&amp;TEXT(G698,"yyyymmdd")&amp;"|"&amp;TEXT(H698,"yyyymmdd"))</f>
        <v>3|CENTRAL PARKIING SYSTEM CHILE|-|20260228</v>
      </c>
      <c r="AE698" s="4"/>
      <c r="AF698" s="4"/>
    </row>
    <row r="699" spans="1:32" x14ac:dyDescent="0.2">
      <c r="A699" s="5">
        <v>-9</v>
      </c>
      <c r="B699" s="6" t="s">
        <v>147</v>
      </c>
      <c r="C699" s="6" t="s">
        <v>147</v>
      </c>
      <c r="D699" s="6" t="s">
        <v>10</v>
      </c>
      <c r="E699" s="5">
        <v>9074</v>
      </c>
      <c r="G699" s="9" t="s">
        <v>9</v>
      </c>
      <c r="H699" s="9">
        <v>46081</v>
      </c>
      <c r="I699" s="6" t="s">
        <v>2</v>
      </c>
      <c r="L699" s="18">
        <v>1</v>
      </c>
      <c r="M699" s="19">
        <v>0.84</v>
      </c>
      <c r="N699" s="18">
        <v>0.84</v>
      </c>
      <c r="T699" s="4"/>
      <c r="U699" s="4"/>
      <c r="V699" s="4"/>
      <c r="W699" s="4"/>
      <c r="X699" s="4"/>
      <c r="Y699" s="4"/>
      <c r="Z699" s="4"/>
      <c r="AA699" s="4"/>
      <c r="AD699" s="20" t="str">
        <f>IF((B699="")+(B699="Vacante")+(D699=""),"",IFERROR(MATCH(D699,{"Oficinas";"Locales";"Estacionamientos";"Bodegas"},0),5)&amp;"|"&amp;B699&amp;"|"&amp;TEXT(G699,"yyyymmdd")&amp;"|"&amp;TEXT(H699,"yyyymmdd"))</f>
        <v>3|CENTRAL PARKIING SYSTEM CHILE|-|20260228</v>
      </c>
      <c r="AE699" s="4"/>
      <c r="AF699" s="4"/>
    </row>
    <row r="700" spans="1:32" x14ac:dyDescent="0.2">
      <c r="A700" s="5">
        <v>-9</v>
      </c>
      <c r="B700" s="6" t="s">
        <v>147</v>
      </c>
      <c r="C700" s="6" t="s">
        <v>147</v>
      </c>
      <c r="D700" s="6" t="s">
        <v>10</v>
      </c>
      <c r="E700" s="5">
        <v>9075</v>
      </c>
      <c r="G700" s="9" t="s">
        <v>9</v>
      </c>
      <c r="H700" s="9">
        <v>46081</v>
      </c>
      <c r="I700" s="6" t="s">
        <v>2</v>
      </c>
      <c r="L700" s="18">
        <v>1</v>
      </c>
      <c r="M700" s="19">
        <v>0.84</v>
      </c>
      <c r="N700" s="18">
        <v>0.84</v>
      </c>
      <c r="T700" s="4"/>
      <c r="U700" s="4"/>
      <c r="V700" s="4"/>
      <c r="W700" s="4"/>
      <c r="X700" s="4"/>
      <c r="Y700" s="4"/>
      <c r="Z700" s="4"/>
      <c r="AA700" s="4"/>
      <c r="AD700" s="20" t="str">
        <f>IF((B700="")+(B700="Vacante")+(D700=""),"",IFERROR(MATCH(D700,{"Oficinas";"Locales";"Estacionamientos";"Bodegas"},0),5)&amp;"|"&amp;B700&amp;"|"&amp;TEXT(G700,"yyyymmdd")&amp;"|"&amp;TEXT(H700,"yyyymmdd"))</f>
        <v>3|CENTRAL PARKIING SYSTEM CHILE|-|20260228</v>
      </c>
      <c r="AE700" s="4"/>
      <c r="AF700" s="4"/>
    </row>
    <row r="701" spans="1:32" x14ac:dyDescent="0.2">
      <c r="A701" s="5">
        <v>-9</v>
      </c>
      <c r="B701" s="6" t="s">
        <v>147</v>
      </c>
      <c r="C701" s="6" t="s">
        <v>147</v>
      </c>
      <c r="D701" s="6" t="s">
        <v>10</v>
      </c>
      <c r="E701" s="5">
        <v>9076</v>
      </c>
      <c r="G701" s="9" t="s">
        <v>9</v>
      </c>
      <c r="H701" s="9">
        <v>46081</v>
      </c>
      <c r="I701" s="6" t="s">
        <v>2</v>
      </c>
      <c r="L701" s="18">
        <v>1</v>
      </c>
      <c r="M701" s="19">
        <v>0.84</v>
      </c>
      <c r="N701" s="18">
        <v>0.84</v>
      </c>
      <c r="T701" s="4"/>
      <c r="U701" s="4"/>
      <c r="V701" s="4"/>
      <c r="W701" s="4"/>
      <c r="X701" s="4"/>
      <c r="Y701" s="4"/>
      <c r="Z701" s="4"/>
      <c r="AA701" s="4"/>
      <c r="AD701" s="20" t="str">
        <f>IF((B701="")+(B701="Vacante")+(D701=""),"",IFERROR(MATCH(D701,{"Oficinas";"Locales";"Estacionamientos";"Bodegas"},0),5)&amp;"|"&amp;B701&amp;"|"&amp;TEXT(G701,"yyyymmdd")&amp;"|"&amp;TEXT(H701,"yyyymmdd"))</f>
        <v>3|CENTRAL PARKIING SYSTEM CHILE|-|20260228</v>
      </c>
      <c r="AE701" s="4"/>
      <c r="AF701" s="4"/>
    </row>
    <row r="702" spans="1:32" x14ac:dyDescent="0.2">
      <c r="A702" s="5">
        <v>-9</v>
      </c>
      <c r="B702" s="6" t="s">
        <v>147</v>
      </c>
      <c r="C702" s="6" t="s">
        <v>147</v>
      </c>
      <c r="D702" s="6" t="s">
        <v>10</v>
      </c>
      <c r="E702" s="5">
        <v>9077</v>
      </c>
      <c r="G702" s="9" t="s">
        <v>9</v>
      </c>
      <c r="H702" s="9">
        <v>46081</v>
      </c>
      <c r="I702" s="6" t="s">
        <v>2</v>
      </c>
      <c r="L702" s="18">
        <v>1</v>
      </c>
      <c r="M702" s="19">
        <v>0.84</v>
      </c>
      <c r="N702" s="18">
        <v>0.84</v>
      </c>
      <c r="T702" s="4"/>
      <c r="U702" s="4"/>
      <c r="V702" s="4"/>
      <c r="W702" s="4"/>
      <c r="X702" s="4"/>
      <c r="Y702" s="4"/>
      <c r="Z702" s="4"/>
      <c r="AA702" s="4"/>
      <c r="AD702" s="20" t="str">
        <f>IF((B702="")+(B702="Vacante")+(D702=""),"",IFERROR(MATCH(D702,{"Oficinas";"Locales";"Estacionamientos";"Bodegas"},0),5)&amp;"|"&amp;B702&amp;"|"&amp;TEXT(G702,"yyyymmdd")&amp;"|"&amp;TEXT(H702,"yyyymmdd"))</f>
        <v>3|CENTRAL PARKIING SYSTEM CHILE|-|20260228</v>
      </c>
      <c r="AE702" s="4"/>
      <c r="AF702" s="4"/>
    </row>
    <row r="703" spans="1:32" x14ac:dyDescent="0.2">
      <c r="A703" s="5">
        <v>-9</v>
      </c>
      <c r="B703" s="6" t="s">
        <v>147</v>
      </c>
      <c r="C703" s="6" t="s">
        <v>147</v>
      </c>
      <c r="D703" s="6" t="s">
        <v>10</v>
      </c>
      <c r="E703" s="5">
        <v>9078</v>
      </c>
      <c r="G703" s="9" t="s">
        <v>9</v>
      </c>
      <c r="H703" s="9">
        <v>46081</v>
      </c>
      <c r="I703" s="6" t="s">
        <v>2</v>
      </c>
      <c r="L703" s="18">
        <v>1</v>
      </c>
      <c r="M703" s="19">
        <v>0.84</v>
      </c>
      <c r="N703" s="18">
        <v>0.84</v>
      </c>
      <c r="T703" s="4"/>
      <c r="U703" s="4"/>
      <c r="V703" s="4"/>
      <c r="W703" s="4"/>
      <c r="X703" s="4"/>
      <c r="Y703" s="4"/>
      <c r="Z703" s="4"/>
      <c r="AA703" s="4"/>
      <c r="AD703" s="20" t="str">
        <f>IF((B703="")+(B703="Vacante")+(D703=""),"",IFERROR(MATCH(D703,{"Oficinas";"Locales";"Estacionamientos";"Bodegas"},0),5)&amp;"|"&amp;B703&amp;"|"&amp;TEXT(G703,"yyyymmdd")&amp;"|"&amp;TEXT(H703,"yyyymmdd"))</f>
        <v>3|CENTRAL PARKIING SYSTEM CHILE|-|20260228</v>
      </c>
      <c r="AE703" s="4"/>
      <c r="AF703" s="4"/>
    </row>
    <row r="704" spans="1:32" x14ac:dyDescent="0.2">
      <c r="A704" s="5">
        <v>-9</v>
      </c>
      <c r="B704" s="6" t="s">
        <v>147</v>
      </c>
      <c r="C704" s="6" t="s">
        <v>147</v>
      </c>
      <c r="D704" s="6" t="s">
        <v>10</v>
      </c>
      <c r="E704" s="5">
        <v>9079</v>
      </c>
      <c r="G704" s="9" t="s">
        <v>9</v>
      </c>
      <c r="H704" s="9">
        <v>46081</v>
      </c>
      <c r="I704" s="6" t="s">
        <v>2</v>
      </c>
      <c r="L704" s="18">
        <v>1</v>
      </c>
      <c r="M704" s="19">
        <v>0.84</v>
      </c>
      <c r="N704" s="18">
        <v>0.84</v>
      </c>
      <c r="T704" s="4"/>
      <c r="U704" s="4"/>
      <c r="V704" s="4"/>
      <c r="W704" s="4"/>
      <c r="X704" s="4"/>
      <c r="Y704" s="4"/>
      <c r="Z704" s="4"/>
      <c r="AA704" s="4"/>
      <c r="AD704" s="20" t="str">
        <f>IF((B704="")+(B704="Vacante")+(D704=""),"",IFERROR(MATCH(D704,{"Oficinas";"Locales";"Estacionamientos";"Bodegas"},0),5)&amp;"|"&amp;B704&amp;"|"&amp;TEXT(G704,"yyyymmdd")&amp;"|"&amp;TEXT(H704,"yyyymmdd"))</f>
        <v>3|CENTRAL PARKIING SYSTEM CHILE|-|20260228</v>
      </c>
      <c r="AE704" s="4"/>
      <c r="AF704" s="4"/>
    </row>
    <row r="705" spans="1:32" x14ac:dyDescent="0.2">
      <c r="A705" s="5">
        <v>-9</v>
      </c>
      <c r="B705" s="6" t="s">
        <v>147</v>
      </c>
      <c r="C705" s="6" t="s">
        <v>147</v>
      </c>
      <c r="D705" s="6" t="s">
        <v>10</v>
      </c>
      <c r="E705" s="5">
        <v>9080</v>
      </c>
      <c r="G705" s="9" t="s">
        <v>9</v>
      </c>
      <c r="H705" s="9">
        <v>46081</v>
      </c>
      <c r="I705" s="6" t="s">
        <v>2</v>
      </c>
      <c r="L705" s="18">
        <v>1</v>
      </c>
      <c r="M705" s="19">
        <v>0.84</v>
      </c>
      <c r="N705" s="18">
        <v>0.84</v>
      </c>
      <c r="T705" s="4"/>
      <c r="U705" s="4"/>
      <c r="V705" s="4"/>
      <c r="W705" s="4"/>
      <c r="X705" s="4"/>
      <c r="Y705" s="4"/>
      <c r="Z705" s="4"/>
      <c r="AA705" s="4"/>
      <c r="AD705" s="20" t="str">
        <f>IF((B705="")+(B705="Vacante")+(D705=""),"",IFERROR(MATCH(D705,{"Oficinas";"Locales";"Estacionamientos";"Bodegas"},0),5)&amp;"|"&amp;B705&amp;"|"&amp;TEXT(G705,"yyyymmdd")&amp;"|"&amp;TEXT(H705,"yyyymmdd"))</f>
        <v>3|CENTRAL PARKIING SYSTEM CHILE|-|20260228</v>
      </c>
      <c r="AE705" s="4"/>
      <c r="AF705" s="4"/>
    </row>
    <row r="706" spans="1:32" x14ac:dyDescent="0.2">
      <c r="A706" s="5">
        <v>-9</v>
      </c>
      <c r="B706" s="6" t="s">
        <v>147</v>
      </c>
      <c r="C706" s="6" t="s">
        <v>147</v>
      </c>
      <c r="D706" s="6" t="s">
        <v>10</v>
      </c>
      <c r="E706" s="5">
        <v>9081</v>
      </c>
      <c r="G706" s="9" t="s">
        <v>9</v>
      </c>
      <c r="H706" s="9">
        <v>46081</v>
      </c>
      <c r="I706" s="6" t="s">
        <v>2</v>
      </c>
      <c r="L706" s="18">
        <v>1</v>
      </c>
      <c r="M706" s="19">
        <v>0.84</v>
      </c>
      <c r="N706" s="18">
        <v>0.84</v>
      </c>
      <c r="T706" s="4"/>
      <c r="U706" s="4"/>
      <c r="V706" s="4"/>
      <c r="W706" s="4"/>
      <c r="X706" s="4"/>
      <c r="Y706" s="4"/>
      <c r="Z706" s="4"/>
      <c r="AA706" s="4"/>
      <c r="AD706" s="20" t="str">
        <f>IF((B706="")+(B706="Vacante")+(D706=""),"",IFERROR(MATCH(D706,{"Oficinas";"Locales";"Estacionamientos";"Bodegas"},0),5)&amp;"|"&amp;B706&amp;"|"&amp;TEXT(G706,"yyyymmdd")&amp;"|"&amp;TEXT(H706,"yyyymmdd"))</f>
        <v>3|CENTRAL PARKIING SYSTEM CHILE|-|20260228</v>
      </c>
      <c r="AE706" s="4"/>
      <c r="AF706" s="4"/>
    </row>
    <row r="707" spans="1:32" x14ac:dyDescent="0.2">
      <c r="A707" s="5">
        <v>-9</v>
      </c>
      <c r="B707" s="6" t="s">
        <v>147</v>
      </c>
      <c r="C707" s="6" t="s">
        <v>147</v>
      </c>
      <c r="D707" s="6" t="s">
        <v>10</v>
      </c>
      <c r="E707" s="5">
        <v>9082</v>
      </c>
      <c r="G707" s="9" t="s">
        <v>9</v>
      </c>
      <c r="H707" s="9">
        <v>46081</v>
      </c>
      <c r="I707" s="6" t="s">
        <v>2</v>
      </c>
      <c r="L707" s="18">
        <v>1</v>
      </c>
      <c r="M707" s="19">
        <v>0.84</v>
      </c>
      <c r="N707" s="18">
        <v>0.84</v>
      </c>
      <c r="T707" s="4"/>
      <c r="U707" s="4"/>
      <c r="V707" s="4"/>
      <c r="W707" s="4"/>
      <c r="X707" s="4"/>
      <c r="Y707" s="4"/>
      <c r="Z707" s="4"/>
      <c r="AA707" s="4"/>
      <c r="AD707" s="20" t="str">
        <f>IF((B707="")+(B707="Vacante")+(D707=""),"",IFERROR(MATCH(D707,{"Oficinas";"Locales";"Estacionamientos";"Bodegas"},0),5)&amp;"|"&amp;B707&amp;"|"&amp;TEXT(G707,"yyyymmdd")&amp;"|"&amp;TEXT(H707,"yyyymmdd"))</f>
        <v>3|CENTRAL PARKIING SYSTEM CHILE|-|20260228</v>
      </c>
      <c r="AE707" s="4"/>
      <c r="AF707" s="4"/>
    </row>
    <row r="708" spans="1:32" x14ac:dyDescent="0.2">
      <c r="A708" s="5">
        <v>-9</v>
      </c>
      <c r="B708" s="6" t="s">
        <v>147</v>
      </c>
      <c r="C708" s="6" t="s">
        <v>147</v>
      </c>
      <c r="D708" s="6" t="s">
        <v>10</v>
      </c>
      <c r="E708" s="5">
        <v>9083</v>
      </c>
      <c r="G708" s="9" t="s">
        <v>9</v>
      </c>
      <c r="H708" s="9">
        <v>46081</v>
      </c>
      <c r="I708" s="6" t="s">
        <v>2</v>
      </c>
      <c r="L708" s="18">
        <v>1</v>
      </c>
      <c r="M708" s="19">
        <v>0.84</v>
      </c>
      <c r="N708" s="18">
        <v>0.84</v>
      </c>
      <c r="T708" s="4"/>
      <c r="U708" s="4"/>
      <c r="V708" s="4"/>
      <c r="W708" s="4"/>
      <c r="X708" s="4"/>
      <c r="Y708" s="4"/>
      <c r="Z708" s="4"/>
      <c r="AA708" s="4"/>
      <c r="AD708" s="20" t="str">
        <f>IF((B708="")+(B708="Vacante")+(D708=""),"",IFERROR(MATCH(D708,{"Oficinas";"Locales";"Estacionamientos";"Bodegas"},0),5)&amp;"|"&amp;B708&amp;"|"&amp;TEXT(G708,"yyyymmdd")&amp;"|"&amp;TEXT(H708,"yyyymmdd"))</f>
        <v>3|CENTRAL PARKIING SYSTEM CHILE|-|20260228</v>
      </c>
      <c r="AE708" s="4"/>
      <c r="AF708" s="4"/>
    </row>
    <row r="709" spans="1:32" x14ac:dyDescent="0.2">
      <c r="A709" s="5">
        <v>-9</v>
      </c>
      <c r="B709" s="6" t="s">
        <v>147</v>
      </c>
      <c r="C709" s="6" t="s">
        <v>147</v>
      </c>
      <c r="D709" s="6" t="s">
        <v>10</v>
      </c>
      <c r="E709" s="5">
        <v>9084</v>
      </c>
      <c r="G709" s="9" t="s">
        <v>9</v>
      </c>
      <c r="H709" s="9">
        <v>46081</v>
      </c>
      <c r="I709" s="6" t="s">
        <v>2</v>
      </c>
      <c r="L709" s="18">
        <v>1</v>
      </c>
      <c r="M709" s="19">
        <v>0.84</v>
      </c>
      <c r="N709" s="18">
        <v>0.84</v>
      </c>
      <c r="T709" s="4"/>
      <c r="U709" s="4"/>
      <c r="V709" s="4"/>
      <c r="W709" s="4"/>
      <c r="X709" s="4"/>
      <c r="Y709" s="4"/>
      <c r="Z709" s="4"/>
      <c r="AA709" s="4"/>
      <c r="AD709" s="20" t="str">
        <f>IF((B709="")+(B709="Vacante")+(D709=""),"",IFERROR(MATCH(D709,{"Oficinas";"Locales";"Estacionamientos";"Bodegas"},0),5)&amp;"|"&amp;B709&amp;"|"&amp;TEXT(G709,"yyyymmdd")&amp;"|"&amp;TEXT(H709,"yyyymmdd"))</f>
        <v>3|CENTRAL PARKIING SYSTEM CHILE|-|20260228</v>
      </c>
      <c r="AE709" s="4"/>
      <c r="AF709" s="4"/>
    </row>
    <row r="710" spans="1:32" x14ac:dyDescent="0.2">
      <c r="A710" s="5">
        <v>-9</v>
      </c>
      <c r="B710" s="6" t="s">
        <v>147</v>
      </c>
      <c r="C710" s="6" t="s">
        <v>147</v>
      </c>
      <c r="D710" s="6" t="s">
        <v>10</v>
      </c>
      <c r="E710" s="5">
        <v>9085</v>
      </c>
      <c r="G710" s="9" t="s">
        <v>9</v>
      </c>
      <c r="H710" s="9">
        <v>46081</v>
      </c>
      <c r="I710" s="6" t="s">
        <v>2</v>
      </c>
      <c r="L710" s="18">
        <v>1</v>
      </c>
      <c r="M710" s="19">
        <v>0.84</v>
      </c>
      <c r="N710" s="18">
        <v>0.84</v>
      </c>
      <c r="T710" s="4"/>
      <c r="U710" s="4"/>
      <c r="V710" s="4"/>
      <c r="W710" s="4"/>
      <c r="X710" s="4"/>
      <c r="Y710" s="4"/>
      <c r="Z710" s="4"/>
      <c r="AA710" s="4"/>
      <c r="AD710" s="20" t="str">
        <f>IF((B710="")+(B710="Vacante")+(D710=""),"",IFERROR(MATCH(D710,{"Oficinas";"Locales";"Estacionamientos";"Bodegas"},0),5)&amp;"|"&amp;B710&amp;"|"&amp;TEXT(G710,"yyyymmdd")&amp;"|"&amp;TEXT(H710,"yyyymmdd"))</f>
        <v>3|CENTRAL PARKIING SYSTEM CHILE|-|20260228</v>
      </c>
      <c r="AE710" s="4"/>
      <c r="AF710" s="4"/>
    </row>
    <row r="711" spans="1:32" x14ac:dyDescent="0.2">
      <c r="A711" s="5">
        <v>-9</v>
      </c>
      <c r="B711" s="6" t="s">
        <v>147</v>
      </c>
      <c r="C711" s="6" t="s">
        <v>147</v>
      </c>
      <c r="D711" s="6" t="s">
        <v>10</v>
      </c>
      <c r="E711" s="5">
        <v>9086</v>
      </c>
      <c r="G711" s="9" t="s">
        <v>9</v>
      </c>
      <c r="H711" s="9">
        <v>46081</v>
      </c>
      <c r="I711" s="6" t="s">
        <v>2</v>
      </c>
      <c r="L711" s="18">
        <v>1</v>
      </c>
      <c r="M711" s="19">
        <v>0.84</v>
      </c>
      <c r="N711" s="18">
        <v>0.84</v>
      </c>
      <c r="T711" s="4"/>
      <c r="U711" s="4"/>
      <c r="V711" s="4"/>
      <c r="W711" s="4"/>
      <c r="X711" s="4"/>
      <c r="Y711" s="4"/>
      <c r="Z711" s="4"/>
      <c r="AA711" s="4"/>
      <c r="AD711" s="20" t="str">
        <f>IF((B711="")+(B711="Vacante")+(D711=""),"",IFERROR(MATCH(D711,{"Oficinas";"Locales";"Estacionamientos";"Bodegas"},0),5)&amp;"|"&amp;B711&amp;"|"&amp;TEXT(G711,"yyyymmdd")&amp;"|"&amp;TEXT(H711,"yyyymmdd"))</f>
        <v>3|CENTRAL PARKIING SYSTEM CHILE|-|20260228</v>
      </c>
      <c r="AE711" s="4"/>
      <c r="AF711" s="4"/>
    </row>
    <row r="712" spans="1:32" x14ac:dyDescent="0.2">
      <c r="A712" s="5">
        <v>-9</v>
      </c>
      <c r="B712" s="6" t="s">
        <v>147</v>
      </c>
      <c r="C712" s="6" t="s">
        <v>147</v>
      </c>
      <c r="D712" s="6" t="s">
        <v>10</v>
      </c>
      <c r="E712" s="5">
        <v>9087</v>
      </c>
      <c r="G712" s="9" t="s">
        <v>9</v>
      </c>
      <c r="H712" s="9">
        <v>46081</v>
      </c>
      <c r="I712" s="6" t="s">
        <v>2</v>
      </c>
      <c r="L712" s="18">
        <v>1</v>
      </c>
      <c r="M712" s="19">
        <v>0.84</v>
      </c>
      <c r="N712" s="18">
        <v>0.84</v>
      </c>
      <c r="T712" s="4"/>
      <c r="U712" s="4"/>
      <c r="V712" s="4"/>
      <c r="W712" s="4"/>
      <c r="X712" s="4"/>
      <c r="Y712" s="4"/>
      <c r="Z712" s="4"/>
      <c r="AA712" s="4"/>
      <c r="AD712" s="20" t="str">
        <f>IF((B712="")+(B712="Vacante")+(D712=""),"",IFERROR(MATCH(D712,{"Oficinas";"Locales";"Estacionamientos";"Bodegas"},0),5)&amp;"|"&amp;B712&amp;"|"&amp;TEXT(G712,"yyyymmdd")&amp;"|"&amp;TEXT(H712,"yyyymmdd"))</f>
        <v>3|CENTRAL PARKIING SYSTEM CHILE|-|20260228</v>
      </c>
      <c r="AE712" s="4"/>
      <c r="AF712" s="4"/>
    </row>
    <row r="713" spans="1:32" x14ac:dyDescent="0.2">
      <c r="A713" s="5">
        <v>-9</v>
      </c>
      <c r="B713" s="6" t="s">
        <v>147</v>
      </c>
      <c r="C713" s="6" t="s">
        <v>147</v>
      </c>
      <c r="D713" s="6" t="s">
        <v>10</v>
      </c>
      <c r="E713" s="5">
        <v>9088</v>
      </c>
      <c r="G713" s="9" t="s">
        <v>9</v>
      </c>
      <c r="H713" s="9">
        <v>46081</v>
      </c>
      <c r="I713" s="6" t="s">
        <v>2</v>
      </c>
      <c r="L713" s="18">
        <v>1</v>
      </c>
      <c r="M713" s="19">
        <v>0.84</v>
      </c>
      <c r="N713" s="18">
        <v>0.84</v>
      </c>
      <c r="T713" s="4"/>
      <c r="U713" s="4"/>
      <c r="V713" s="4"/>
      <c r="W713" s="4"/>
      <c r="X713" s="4"/>
      <c r="Y713" s="4"/>
      <c r="Z713" s="4"/>
      <c r="AA713" s="4"/>
      <c r="AD713" s="20" t="str">
        <f>IF((B713="")+(B713="Vacante")+(D713=""),"",IFERROR(MATCH(D713,{"Oficinas";"Locales";"Estacionamientos";"Bodegas"},0),5)&amp;"|"&amp;B713&amp;"|"&amp;TEXT(G713,"yyyymmdd")&amp;"|"&amp;TEXT(H713,"yyyymmdd"))</f>
        <v>3|CENTRAL PARKIING SYSTEM CHILE|-|20260228</v>
      </c>
      <c r="AE713" s="4"/>
      <c r="AF713" s="4"/>
    </row>
    <row r="714" spans="1:32" x14ac:dyDescent="0.2">
      <c r="A714" s="5">
        <v>-9</v>
      </c>
      <c r="B714" s="6" t="s">
        <v>147</v>
      </c>
      <c r="C714" s="6" t="s">
        <v>147</v>
      </c>
      <c r="D714" s="6" t="s">
        <v>10</v>
      </c>
      <c r="E714" s="5">
        <v>9089</v>
      </c>
      <c r="G714" s="9" t="s">
        <v>9</v>
      </c>
      <c r="H714" s="9">
        <v>46081</v>
      </c>
      <c r="I714" s="6" t="s">
        <v>2</v>
      </c>
      <c r="L714" s="18">
        <v>1</v>
      </c>
      <c r="M714" s="19">
        <v>0.84</v>
      </c>
      <c r="N714" s="18">
        <v>0.84</v>
      </c>
      <c r="T714" s="4"/>
      <c r="U714" s="4"/>
      <c r="V714" s="4"/>
      <c r="W714" s="4"/>
      <c r="X714" s="4"/>
      <c r="Y714" s="4"/>
      <c r="Z714" s="4"/>
      <c r="AA714" s="4"/>
      <c r="AD714" s="20" t="str">
        <f>IF((B714="")+(B714="Vacante")+(D714=""),"",IFERROR(MATCH(D714,{"Oficinas";"Locales";"Estacionamientos";"Bodegas"},0),5)&amp;"|"&amp;B714&amp;"|"&amp;TEXT(G714,"yyyymmdd")&amp;"|"&amp;TEXT(H714,"yyyymmdd"))</f>
        <v>3|CENTRAL PARKIING SYSTEM CHILE|-|20260228</v>
      </c>
      <c r="AE714" s="4"/>
      <c r="AF714" s="4"/>
    </row>
    <row r="715" spans="1:32" x14ac:dyDescent="0.2">
      <c r="A715" s="5">
        <v>-9</v>
      </c>
      <c r="B715" s="6" t="s">
        <v>147</v>
      </c>
      <c r="C715" s="6" t="s">
        <v>147</v>
      </c>
      <c r="D715" s="6" t="s">
        <v>10</v>
      </c>
      <c r="E715" s="5">
        <v>9090</v>
      </c>
      <c r="G715" s="9" t="s">
        <v>9</v>
      </c>
      <c r="H715" s="9">
        <v>46081</v>
      </c>
      <c r="I715" s="6" t="s">
        <v>2</v>
      </c>
      <c r="L715" s="18">
        <v>1</v>
      </c>
      <c r="M715" s="19">
        <v>0.84</v>
      </c>
      <c r="N715" s="18">
        <v>0.84</v>
      </c>
      <c r="T715" s="4"/>
      <c r="U715" s="4"/>
      <c r="V715" s="4"/>
      <c r="W715" s="4"/>
      <c r="X715" s="4"/>
      <c r="Y715" s="4"/>
      <c r="Z715" s="4"/>
      <c r="AA715" s="4"/>
      <c r="AD715" s="20" t="str">
        <f>IF((B715="")+(B715="Vacante")+(D715=""),"",IFERROR(MATCH(D715,{"Oficinas";"Locales";"Estacionamientos";"Bodegas"},0),5)&amp;"|"&amp;B715&amp;"|"&amp;TEXT(G715,"yyyymmdd")&amp;"|"&amp;TEXT(H715,"yyyymmdd"))</f>
        <v>3|CENTRAL PARKIING SYSTEM CHILE|-|20260228</v>
      </c>
      <c r="AE715" s="4"/>
      <c r="AF715" s="4"/>
    </row>
    <row r="716" spans="1:32" x14ac:dyDescent="0.2">
      <c r="A716" s="5">
        <v>-9</v>
      </c>
      <c r="B716" s="6" t="s">
        <v>147</v>
      </c>
      <c r="C716" s="6" t="s">
        <v>147</v>
      </c>
      <c r="D716" s="6" t="s">
        <v>10</v>
      </c>
      <c r="E716" s="5">
        <v>9091</v>
      </c>
      <c r="F716" s="6" t="s">
        <v>104</v>
      </c>
      <c r="G716" s="9" t="s">
        <v>9</v>
      </c>
      <c r="H716" s="9">
        <v>46081</v>
      </c>
      <c r="I716" s="6" t="s">
        <v>2</v>
      </c>
      <c r="L716" s="18">
        <v>1</v>
      </c>
      <c r="M716" s="19">
        <v>0.84</v>
      </c>
      <c r="N716" s="18">
        <v>0.84</v>
      </c>
      <c r="T716" s="4"/>
      <c r="U716" s="4"/>
      <c r="V716" s="4"/>
      <c r="W716" s="4"/>
      <c r="X716" s="4"/>
      <c r="Y716" s="4"/>
      <c r="Z716" s="4"/>
      <c r="AA716" s="4"/>
      <c r="AD716" s="20" t="str">
        <f>IF((B716="")+(B716="Vacante")+(D716=""),"",IFERROR(MATCH(D716,{"Oficinas";"Locales";"Estacionamientos";"Bodegas"},0),5)&amp;"|"&amp;B716&amp;"|"&amp;TEXT(G716,"yyyymmdd")&amp;"|"&amp;TEXT(H716,"yyyymmdd"))</f>
        <v>3|CENTRAL PARKIING SYSTEM CHILE|-|20260228</v>
      </c>
      <c r="AE716" s="4"/>
      <c r="AF716" s="4"/>
    </row>
    <row r="717" spans="1:32" x14ac:dyDescent="0.2">
      <c r="A717" s="5">
        <v>-9</v>
      </c>
      <c r="B717" s="6" t="s">
        <v>147</v>
      </c>
      <c r="C717" s="6" t="s">
        <v>147</v>
      </c>
      <c r="D717" s="6" t="s">
        <v>10</v>
      </c>
      <c r="E717" s="5">
        <v>9092</v>
      </c>
      <c r="G717" s="9" t="s">
        <v>9</v>
      </c>
      <c r="H717" s="9">
        <v>46081</v>
      </c>
      <c r="I717" s="6" t="s">
        <v>2</v>
      </c>
      <c r="L717" s="18">
        <v>1</v>
      </c>
      <c r="M717" s="19">
        <v>0.84</v>
      </c>
      <c r="N717" s="18">
        <v>0.84</v>
      </c>
      <c r="T717" s="4"/>
      <c r="U717" s="4"/>
      <c r="V717" s="4"/>
      <c r="W717" s="4"/>
      <c r="X717" s="4"/>
      <c r="Y717" s="4"/>
      <c r="Z717" s="4"/>
      <c r="AA717" s="4"/>
      <c r="AD717" s="20" t="str">
        <f>IF((B717="")+(B717="Vacante")+(D717=""),"",IFERROR(MATCH(D717,{"Oficinas";"Locales";"Estacionamientos";"Bodegas"},0),5)&amp;"|"&amp;B717&amp;"|"&amp;TEXT(G717,"yyyymmdd")&amp;"|"&amp;TEXT(H717,"yyyymmdd"))</f>
        <v>3|CENTRAL PARKIING SYSTEM CHILE|-|20260228</v>
      </c>
      <c r="AE717" s="4"/>
      <c r="AF717" s="4"/>
    </row>
    <row r="718" spans="1:32" x14ac:dyDescent="0.2">
      <c r="A718" s="5">
        <v>-9</v>
      </c>
      <c r="B718" s="6" t="s">
        <v>147</v>
      </c>
      <c r="C718" s="6" t="s">
        <v>147</v>
      </c>
      <c r="D718" s="6" t="s">
        <v>10</v>
      </c>
      <c r="E718" s="5">
        <v>9093</v>
      </c>
      <c r="G718" s="9" t="s">
        <v>9</v>
      </c>
      <c r="H718" s="9">
        <v>46081</v>
      </c>
      <c r="I718" s="6" t="s">
        <v>2</v>
      </c>
      <c r="L718" s="18">
        <v>1</v>
      </c>
      <c r="M718" s="19">
        <v>0.84</v>
      </c>
      <c r="N718" s="18">
        <v>0.84</v>
      </c>
      <c r="T718" s="4"/>
      <c r="U718" s="4"/>
      <c r="V718" s="4"/>
      <c r="W718" s="4"/>
      <c r="X718" s="4"/>
      <c r="Y718" s="4"/>
      <c r="Z718" s="4"/>
      <c r="AA718" s="4"/>
      <c r="AD718" s="20" t="str">
        <f>IF((B718="")+(B718="Vacante")+(D718=""),"",IFERROR(MATCH(D718,{"Oficinas";"Locales";"Estacionamientos";"Bodegas"},0),5)&amp;"|"&amp;B718&amp;"|"&amp;TEXT(G718,"yyyymmdd")&amp;"|"&amp;TEXT(H718,"yyyymmdd"))</f>
        <v>3|CENTRAL PARKIING SYSTEM CHILE|-|20260228</v>
      </c>
      <c r="AE718" s="4"/>
      <c r="AF718" s="4"/>
    </row>
    <row r="719" spans="1:32" x14ac:dyDescent="0.2">
      <c r="A719" s="5">
        <v>-9</v>
      </c>
      <c r="B719" s="6" t="s">
        <v>147</v>
      </c>
      <c r="C719" s="6" t="s">
        <v>147</v>
      </c>
      <c r="D719" s="6" t="s">
        <v>10</v>
      </c>
      <c r="E719" s="5">
        <v>9094</v>
      </c>
      <c r="G719" s="9" t="s">
        <v>9</v>
      </c>
      <c r="H719" s="9">
        <v>46081</v>
      </c>
      <c r="I719" s="6" t="s">
        <v>2</v>
      </c>
      <c r="L719" s="18">
        <v>1</v>
      </c>
      <c r="M719" s="19">
        <v>0.84</v>
      </c>
      <c r="N719" s="18">
        <v>0.84</v>
      </c>
      <c r="T719" s="4"/>
      <c r="U719" s="4"/>
      <c r="V719" s="4"/>
      <c r="W719" s="4"/>
      <c r="X719" s="4"/>
      <c r="Y719" s="4"/>
      <c r="Z719" s="4"/>
      <c r="AA719" s="4"/>
      <c r="AD719" s="20" t="str">
        <f>IF((B719="")+(B719="Vacante")+(D719=""),"",IFERROR(MATCH(D719,{"Oficinas";"Locales";"Estacionamientos";"Bodegas"},0),5)&amp;"|"&amp;B719&amp;"|"&amp;TEXT(G719,"yyyymmdd")&amp;"|"&amp;TEXT(H719,"yyyymmdd"))</f>
        <v>3|CENTRAL PARKIING SYSTEM CHILE|-|20260228</v>
      </c>
      <c r="AE719" s="4"/>
      <c r="AF719" s="4"/>
    </row>
    <row r="720" spans="1:32" x14ac:dyDescent="0.2">
      <c r="A720" s="5">
        <v>-9</v>
      </c>
      <c r="B720" s="6" t="s">
        <v>147</v>
      </c>
      <c r="C720" s="6" t="s">
        <v>147</v>
      </c>
      <c r="D720" s="6" t="s">
        <v>10</v>
      </c>
      <c r="E720" s="5">
        <v>9095</v>
      </c>
      <c r="G720" s="9" t="s">
        <v>9</v>
      </c>
      <c r="H720" s="9">
        <v>46081</v>
      </c>
      <c r="I720" s="6" t="s">
        <v>2</v>
      </c>
      <c r="L720" s="18">
        <v>1</v>
      </c>
      <c r="M720" s="19">
        <v>0.84</v>
      </c>
      <c r="N720" s="18">
        <v>0.84</v>
      </c>
      <c r="T720" s="4"/>
      <c r="U720" s="4"/>
      <c r="V720" s="4"/>
      <c r="W720" s="4"/>
      <c r="X720" s="4"/>
      <c r="Y720" s="4"/>
      <c r="Z720" s="4"/>
      <c r="AA720" s="4"/>
      <c r="AD720" s="20" t="str">
        <f>IF((B720="")+(B720="Vacante")+(D720=""),"",IFERROR(MATCH(D720,{"Oficinas";"Locales";"Estacionamientos";"Bodegas"},0),5)&amp;"|"&amp;B720&amp;"|"&amp;TEXT(G720,"yyyymmdd")&amp;"|"&amp;TEXT(H720,"yyyymmdd"))</f>
        <v>3|CENTRAL PARKIING SYSTEM CHILE|-|20260228</v>
      </c>
      <c r="AE720" s="4"/>
      <c r="AF720" s="4"/>
    </row>
    <row r="721" spans="1:32" x14ac:dyDescent="0.2">
      <c r="A721" s="5">
        <v>-9</v>
      </c>
      <c r="B721" s="6" t="s">
        <v>147</v>
      </c>
      <c r="C721" s="6" t="s">
        <v>147</v>
      </c>
      <c r="D721" s="6" t="s">
        <v>10</v>
      </c>
      <c r="E721" s="5">
        <v>9096</v>
      </c>
      <c r="G721" s="9" t="s">
        <v>9</v>
      </c>
      <c r="H721" s="9">
        <v>46081</v>
      </c>
      <c r="I721" s="6" t="s">
        <v>2</v>
      </c>
      <c r="L721" s="18">
        <v>1</v>
      </c>
      <c r="M721" s="19">
        <v>0.84</v>
      </c>
      <c r="N721" s="18">
        <v>0.84</v>
      </c>
      <c r="T721" s="4"/>
      <c r="U721" s="4"/>
      <c r="V721" s="4"/>
      <c r="W721" s="4"/>
      <c r="X721" s="4"/>
      <c r="Y721" s="4"/>
      <c r="Z721" s="4"/>
      <c r="AA721" s="4"/>
      <c r="AD721" s="20" t="str">
        <f>IF((B721="")+(B721="Vacante")+(D721=""),"",IFERROR(MATCH(D721,{"Oficinas";"Locales";"Estacionamientos";"Bodegas"},0),5)&amp;"|"&amp;B721&amp;"|"&amp;TEXT(G721,"yyyymmdd")&amp;"|"&amp;TEXT(H721,"yyyymmdd"))</f>
        <v>3|CENTRAL PARKIING SYSTEM CHILE|-|20260228</v>
      </c>
      <c r="AE721" s="4"/>
      <c r="AF721" s="4"/>
    </row>
    <row r="722" spans="1:32" x14ac:dyDescent="0.2">
      <c r="A722" s="5">
        <v>-9</v>
      </c>
      <c r="B722" s="6" t="s">
        <v>147</v>
      </c>
      <c r="C722" s="6" t="s">
        <v>147</v>
      </c>
      <c r="D722" s="6" t="s">
        <v>10</v>
      </c>
      <c r="E722" s="5">
        <v>9097</v>
      </c>
      <c r="G722" s="9" t="s">
        <v>9</v>
      </c>
      <c r="H722" s="9">
        <v>46081</v>
      </c>
      <c r="I722" s="6" t="s">
        <v>2</v>
      </c>
      <c r="L722" s="18">
        <v>1</v>
      </c>
      <c r="M722" s="19">
        <v>0.84</v>
      </c>
      <c r="N722" s="18">
        <v>0.84</v>
      </c>
      <c r="T722" s="4"/>
      <c r="U722" s="4"/>
      <c r="V722" s="4"/>
      <c r="W722" s="4"/>
      <c r="X722" s="4"/>
      <c r="Y722" s="4"/>
      <c r="Z722" s="4"/>
      <c r="AA722" s="4"/>
      <c r="AD722" s="20" t="str">
        <f>IF((B722="")+(B722="Vacante")+(D722=""),"",IFERROR(MATCH(D722,{"Oficinas";"Locales";"Estacionamientos";"Bodegas"},0),5)&amp;"|"&amp;B722&amp;"|"&amp;TEXT(G722,"yyyymmdd")&amp;"|"&amp;TEXT(H722,"yyyymmdd"))</f>
        <v>3|CENTRAL PARKIING SYSTEM CHILE|-|20260228</v>
      </c>
      <c r="AE722" s="4"/>
      <c r="AF722" s="4"/>
    </row>
    <row r="723" spans="1:32" x14ac:dyDescent="0.2">
      <c r="A723" s="5">
        <v>-9</v>
      </c>
      <c r="B723" s="6" t="s">
        <v>147</v>
      </c>
      <c r="C723" s="6" t="s">
        <v>147</v>
      </c>
      <c r="D723" s="6" t="s">
        <v>10</v>
      </c>
      <c r="E723" s="5">
        <v>9098</v>
      </c>
      <c r="G723" s="9" t="s">
        <v>9</v>
      </c>
      <c r="H723" s="9">
        <v>46081</v>
      </c>
      <c r="I723" s="6" t="s">
        <v>2</v>
      </c>
      <c r="L723" s="18">
        <v>1</v>
      </c>
      <c r="M723" s="19">
        <v>0.84</v>
      </c>
      <c r="N723" s="18">
        <v>0.84</v>
      </c>
      <c r="T723" s="4"/>
      <c r="U723" s="4"/>
      <c r="V723" s="4"/>
      <c r="W723" s="4"/>
      <c r="X723" s="4"/>
      <c r="Y723" s="4"/>
      <c r="Z723" s="4"/>
      <c r="AA723" s="4"/>
      <c r="AD723" s="20" t="str">
        <f>IF((B723="")+(B723="Vacante")+(D723=""),"",IFERROR(MATCH(D723,{"Oficinas";"Locales";"Estacionamientos";"Bodegas"},0),5)&amp;"|"&amp;B723&amp;"|"&amp;TEXT(G723,"yyyymmdd")&amp;"|"&amp;TEXT(H723,"yyyymmdd"))</f>
        <v>3|CENTRAL PARKIING SYSTEM CHILE|-|20260228</v>
      </c>
      <c r="AE723" s="4"/>
      <c r="AF723" s="4"/>
    </row>
    <row r="724" spans="1:32" x14ac:dyDescent="0.2">
      <c r="A724" s="5">
        <v>-9</v>
      </c>
      <c r="B724" s="6" t="s">
        <v>147</v>
      </c>
      <c r="C724" s="6" t="s">
        <v>147</v>
      </c>
      <c r="D724" s="6" t="s">
        <v>10</v>
      </c>
      <c r="E724" s="5">
        <v>9099</v>
      </c>
      <c r="G724" s="9" t="s">
        <v>9</v>
      </c>
      <c r="H724" s="9">
        <v>46081</v>
      </c>
      <c r="I724" s="6" t="s">
        <v>2</v>
      </c>
      <c r="L724" s="18">
        <v>1</v>
      </c>
      <c r="M724" s="19">
        <v>0.84</v>
      </c>
      <c r="N724" s="18">
        <v>0.84</v>
      </c>
      <c r="T724" s="4"/>
      <c r="U724" s="4"/>
      <c r="V724" s="4"/>
      <c r="W724" s="4"/>
      <c r="X724" s="4"/>
      <c r="Y724" s="4"/>
      <c r="Z724" s="4"/>
      <c r="AA724" s="4"/>
      <c r="AD724" s="20" t="str">
        <f>IF((B724="")+(B724="Vacante")+(D724=""),"",IFERROR(MATCH(D724,{"Oficinas";"Locales";"Estacionamientos";"Bodegas"},0),5)&amp;"|"&amp;B724&amp;"|"&amp;TEXT(G724,"yyyymmdd")&amp;"|"&amp;TEXT(H724,"yyyymmdd"))</f>
        <v>3|CENTRAL PARKIING SYSTEM CHILE|-|20260228</v>
      </c>
      <c r="AE724" s="4"/>
      <c r="AF724" s="4"/>
    </row>
    <row r="725" spans="1:32" x14ac:dyDescent="0.2">
      <c r="A725" s="5">
        <v>-9</v>
      </c>
      <c r="B725" s="6" t="s">
        <v>147</v>
      </c>
      <c r="C725" s="6" t="s">
        <v>147</v>
      </c>
      <c r="D725" s="6" t="s">
        <v>10</v>
      </c>
      <c r="E725" s="5">
        <v>9100</v>
      </c>
      <c r="G725" s="9" t="s">
        <v>9</v>
      </c>
      <c r="H725" s="9">
        <v>46081</v>
      </c>
      <c r="I725" s="6" t="s">
        <v>2</v>
      </c>
      <c r="L725" s="18">
        <v>1</v>
      </c>
      <c r="M725" s="19">
        <v>0.84</v>
      </c>
      <c r="N725" s="18">
        <v>0.84</v>
      </c>
      <c r="T725" s="4"/>
      <c r="U725" s="4"/>
      <c r="V725" s="4"/>
      <c r="W725" s="4"/>
      <c r="X725" s="4"/>
      <c r="Y725" s="4"/>
      <c r="Z725" s="4"/>
      <c r="AA725" s="4"/>
      <c r="AD725" s="20" t="str">
        <f>IF((B725="")+(B725="Vacante")+(D725=""),"",IFERROR(MATCH(D725,{"Oficinas";"Locales";"Estacionamientos";"Bodegas"},0),5)&amp;"|"&amp;B725&amp;"|"&amp;TEXT(G725,"yyyymmdd")&amp;"|"&amp;TEXT(H725,"yyyymmdd"))</f>
        <v>3|CENTRAL PARKIING SYSTEM CHILE|-|20260228</v>
      </c>
      <c r="AE725" s="4"/>
      <c r="AF725" s="4"/>
    </row>
    <row r="726" spans="1:32" x14ac:dyDescent="0.2">
      <c r="A726" s="5">
        <v>-9</v>
      </c>
      <c r="B726" s="6" t="s">
        <v>147</v>
      </c>
      <c r="C726" s="6" t="s">
        <v>147</v>
      </c>
      <c r="D726" s="6" t="s">
        <v>10</v>
      </c>
      <c r="E726" s="5">
        <v>9101</v>
      </c>
      <c r="G726" s="9" t="s">
        <v>9</v>
      </c>
      <c r="H726" s="9">
        <v>46081</v>
      </c>
      <c r="I726" s="6" t="s">
        <v>2</v>
      </c>
      <c r="L726" s="18">
        <v>1</v>
      </c>
      <c r="M726" s="19">
        <v>0.84</v>
      </c>
      <c r="N726" s="18">
        <v>0.84</v>
      </c>
      <c r="T726" s="4"/>
      <c r="U726" s="4"/>
      <c r="V726" s="4"/>
      <c r="W726" s="4"/>
      <c r="X726" s="4"/>
      <c r="Y726" s="4"/>
      <c r="Z726" s="4"/>
      <c r="AA726" s="4"/>
      <c r="AD726" s="20" t="str">
        <f>IF((B726="")+(B726="Vacante")+(D726=""),"",IFERROR(MATCH(D726,{"Oficinas";"Locales";"Estacionamientos";"Bodegas"},0),5)&amp;"|"&amp;B726&amp;"|"&amp;TEXT(G726,"yyyymmdd")&amp;"|"&amp;TEXT(H726,"yyyymmdd"))</f>
        <v>3|CENTRAL PARKIING SYSTEM CHILE|-|20260228</v>
      </c>
      <c r="AE726" s="4"/>
      <c r="AF726" s="4"/>
    </row>
    <row r="727" spans="1:32" x14ac:dyDescent="0.2">
      <c r="A727" s="5">
        <v>-9</v>
      </c>
      <c r="B727" s="6" t="s">
        <v>147</v>
      </c>
      <c r="C727" s="6" t="s">
        <v>147</v>
      </c>
      <c r="D727" s="6" t="s">
        <v>10</v>
      </c>
      <c r="E727" s="5">
        <v>9102</v>
      </c>
      <c r="G727" s="9" t="s">
        <v>9</v>
      </c>
      <c r="H727" s="9">
        <v>46081</v>
      </c>
      <c r="I727" s="6" t="s">
        <v>2</v>
      </c>
      <c r="L727" s="18">
        <v>1</v>
      </c>
      <c r="M727" s="19">
        <v>0.84</v>
      </c>
      <c r="N727" s="18">
        <v>0.84</v>
      </c>
      <c r="T727" s="4"/>
      <c r="U727" s="4"/>
      <c r="V727" s="4"/>
      <c r="W727" s="4"/>
      <c r="X727" s="4"/>
      <c r="Y727" s="4"/>
      <c r="Z727" s="4"/>
      <c r="AA727" s="4"/>
      <c r="AD727" s="20" t="str">
        <f>IF((B727="")+(B727="Vacante")+(D727=""),"",IFERROR(MATCH(D727,{"Oficinas";"Locales";"Estacionamientos";"Bodegas"},0),5)&amp;"|"&amp;B727&amp;"|"&amp;TEXT(G727,"yyyymmdd")&amp;"|"&amp;TEXT(H727,"yyyymmdd"))</f>
        <v>3|CENTRAL PARKIING SYSTEM CHILE|-|20260228</v>
      </c>
      <c r="AE727" s="4"/>
      <c r="AF727" s="4"/>
    </row>
    <row r="728" spans="1:32" x14ac:dyDescent="0.2">
      <c r="A728" s="5">
        <v>-9</v>
      </c>
      <c r="B728" s="6" t="s">
        <v>147</v>
      </c>
      <c r="C728" s="6" t="s">
        <v>147</v>
      </c>
      <c r="D728" s="6" t="s">
        <v>10</v>
      </c>
      <c r="E728" s="5">
        <v>9103</v>
      </c>
      <c r="G728" s="9" t="s">
        <v>9</v>
      </c>
      <c r="H728" s="9">
        <v>46081</v>
      </c>
      <c r="I728" s="6" t="s">
        <v>2</v>
      </c>
      <c r="L728" s="18">
        <v>1</v>
      </c>
      <c r="M728" s="19">
        <v>0.84</v>
      </c>
      <c r="N728" s="18">
        <v>0.84</v>
      </c>
      <c r="T728" s="4"/>
      <c r="U728" s="4"/>
      <c r="V728" s="4"/>
      <c r="W728" s="4"/>
      <c r="X728" s="4"/>
      <c r="Y728" s="4"/>
      <c r="Z728" s="4"/>
      <c r="AA728" s="4"/>
      <c r="AD728" s="20" t="str">
        <f>IF((B728="")+(B728="Vacante")+(D728=""),"",IFERROR(MATCH(D728,{"Oficinas";"Locales";"Estacionamientos";"Bodegas"},0),5)&amp;"|"&amp;B728&amp;"|"&amp;TEXT(G728,"yyyymmdd")&amp;"|"&amp;TEXT(H728,"yyyymmdd"))</f>
        <v>3|CENTRAL PARKIING SYSTEM CHILE|-|20260228</v>
      </c>
      <c r="AE728" s="4"/>
      <c r="AF728" s="4"/>
    </row>
    <row r="729" spans="1:32" x14ac:dyDescent="0.2">
      <c r="A729" s="5">
        <v>-9</v>
      </c>
      <c r="B729" s="6" t="s">
        <v>147</v>
      </c>
      <c r="C729" s="6" t="s">
        <v>147</v>
      </c>
      <c r="D729" s="6" t="s">
        <v>10</v>
      </c>
      <c r="E729" s="5">
        <v>9104</v>
      </c>
      <c r="G729" s="9" t="s">
        <v>9</v>
      </c>
      <c r="H729" s="9">
        <v>46081</v>
      </c>
      <c r="I729" s="6" t="s">
        <v>2</v>
      </c>
      <c r="L729" s="18">
        <v>1</v>
      </c>
      <c r="M729" s="19">
        <v>0.84</v>
      </c>
      <c r="N729" s="18">
        <v>0.84</v>
      </c>
      <c r="T729" s="4"/>
      <c r="U729" s="4"/>
      <c r="V729" s="4"/>
      <c r="W729" s="4"/>
      <c r="X729" s="4"/>
      <c r="Y729" s="4"/>
      <c r="Z729" s="4"/>
      <c r="AA729" s="4"/>
      <c r="AD729" s="20" t="str">
        <f>IF((B729="")+(B729="Vacante")+(D729=""),"",IFERROR(MATCH(D729,{"Oficinas";"Locales";"Estacionamientos";"Bodegas"},0),5)&amp;"|"&amp;B729&amp;"|"&amp;TEXT(G729,"yyyymmdd")&amp;"|"&amp;TEXT(H729,"yyyymmdd"))</f>
        <v>3|CENTRAL PARKIING SYSTEM CHILE|-|20260228</v>
      </c>
      <c r="AE729" s="4"/>
      <c r="AF729" s="4"/>
    </row>
    <row r="730" spans="1:32" x14ac:dyDescent="0.2">
      <c r="A730" s="5">
        <v>-9</v>
      </c>
      <c r="B730" s="6" t="s">
        <v>147</v>
      </c>
      <c r="C730" s="6" t="s">
        <v>147</v>
      </c>
      <c r="D730" s="6" t="s">
        <v>10</v>
      </c>
      <c r="E730" s="5">
        <v>9105</v>
      </c>
      <c r="G730" s="9" t="s">
        <v>9</v>
      </c>
      <c r="H730" s="9">
        <v>46081</v>
      </c>
      <c r="I730" s="6" t="s">
        <v>2</v>
      </c>
      <c r="L730" s="18">
        <v>1</v>
      </c>
      <c r="M730" s="19">
        <v>0.84</v>
      </c>
      <c r="N730" s="18">
        <v>0.84</v>
      </c>
      <c r="T730" s="4"/>
      <c r="U730" s="4"/>
      <c r="V730" s="4"/>
      <c r="W730" s="4"/>
      <c r="X730" s="4"/>
      <c r="Y730" s="4"/>
      <c r="Z730" s="4"/>
      <c r="AA730" s="4"/>
      <c r="AD730" s="20" t="str">
        <f>IF((B730="")+(B730="Vacante")+(D730=""),"",IFERROR(MATCH(D730,{"Oficinas";"Locales";"Estacionamientos";"Bodegas"},0),5)&amp;"|"&amp;B730&amp;"|"&amp;TEXT(G730,"yyyymmdd")&amp;"|"&amp;TEXT(H730,"yyyymmdd"))</f>
        <v>3|CENTRAL PARKIING SYSTEM CHILE|-|20260228</v>
      </c>
      <c r="AE730" s="4"/>
      <c r="AF730" s="4"/>
    </row>
    <row r="731" spans="1:32" x14ac:dyDescent="0.2">
      <c r="A731" s="5">
        <v>-9</v>
      </c>
      <c r="B731" s="6" t="s">
        <v>147</v>
      </c>
      <c r="C731" s="6" t="s">
        <v>147</v>
      </c>
      <c r="D731" s="6" t="s">
        <v>10</v>
      </c>
      <c r="E731" s="5">
        <v>9106</v>
      </c>
      <c r="G731" s="9" t="s">
        <v>9</v>
      </c>
      <c r="H731" s="9">
        <v>46081</v>
      </c>
      <c r="I731" s="6" t="s">
        <v>2</v>
      </c>
      <c r="L731" s="18">
        <v>1</v>
      </c>
      <c r="M731" s="19">
        <v>0.84</v>
      </c>
      <c r="N731" s="18">
        <v>0.84</v>
      </c>
      <c r="T731" s="4"/>
      <c r="U731" s="4"/>
      <c r="V731" s="4"/>
      <c r="W731" s="4"/>
      <c r="X731" s="4"/>
      <c r="Y731" s="4"/>
      <c r="Z731" s="4"/>
      <c r="AA731" s="4"/>
      <c r="AD731" s="20" t="str">
        <f>IF((B731="")+(B731="Vacante")+(D731=""),"",IFERROR(MATCH(D731,{"Oficinas";"Locales";"Estacionamientos";"Bodegas"},0),5)&amp;"|"&amp;B731&amp;"|"&amp;TEXT(G731,"yyyymmdd")&amp;"|"&amp;TEXT(H731,"yyyymmdd"))</f>
        <v>3|CENTRAL PARKIING SYSTEM CHILE|-|20260228</v>
      </c>
      <c r="AE731" s="4"/>
      <c r="AF731" s="4"/>
    </row>
    <row r="732" spans="1:32" x14ac:dyDescent="0.2">
      <c r="A732" s="5">
        <v>-9</v>
      </c>
      <c r="B732" s="6" t="s">
        <v>147</v>
      </c>
      <c r="C732" s="6" t="s">
        <v>147</v>
      </c>
      <c r="D732" s="6" t="s">
        <v>10</v>
      </c>
      <c r="E732" s="5">
        <v>9107</v>
      </c>
      <c r="G732" s="9" t="s">
        <v>9</v>
      </c>
      <c r="H732" s="9">
        <v>46081</v>
      </c>
      <c r="I732" s="6" t="s">
        <v>2</v>
      </c>
      <c r="L732" s="18">
        <v>1</v>
      </c>
      <c r="M732" s="19">
        <v>0.84</v>
      </c>
      <c r="N732" s="18">
        <v>0.84</v>
      </c>
      <c r="T732" s="4"/>
      <c r="U732" s="4"/>
      <c r="V732" s="4"/>
      <c r="W732" s="4"/>
      <c r="X732" s="4"/>
      <c r="Y732" s="4"/>
      <c r="Z732" s="4"/>
      <c r="AA732" s="4"/>
      <c r="AD732" s="20" t="str">
        <f>IF((B732="")+(B732="Vacante")+(D732=""),"",IFERROR(MATCH(D732,{"Oficinas";"Locales";"Estacionamientos";"Bodegas"},0),5)&amp;"|"&amp;B732&amp;"|"&amp;TEXT(G732,"yyyymmdd")&amp;"|"&amp;TEXT(H732,"yyyymmdd"))</f>
        <v>3|CENTRAL PARKIING SYSTEM CHILE|-|20260228</v>
      </c>
      <c r="AE732" s="4"/>
      <c r="AF732" s="4"/>
    </row>
    <row r="733" spans="1:32" x14ac:dyDescent="0.2">
      <c r="A733" s="5">
        <v>-9</v>
      </c>
      <c r="B733" s="6" t="s">
        <v>147</v>
      </c>
      <c r="C733" s="6" t="s">
        <v>147</v>
      </c>
      <c r="D733" s="6" t="s">
        <v>10</v>
      </c>
      <c r="E733" s="5">
        <v>9108</v>
      </c>
      <c r="G733" s="9" t="s">
        <v>9</v>
      </c>
      <c r="H733" s="9">
        <v>46081</v>
      </c>
      <c r="I733" s="6" t="s">
        <v>2</v>
      </c>
      <c r="L733" s="18">
        <v>1</v>
      </c>
      <c r="M733" s="19">
        <v>0.84</v>
      </c>
      <c r="N733" s="18">
        <v>0.84</v>
      </c>
      <c r="T733" s="4"/>
      <c r="U733" s="4"/>
      <c r="V733" s="4"/>
      <c r="W733" s="4"/>
      <c r="X733" s="4"/>
      <c r="Y733" s="4"/>
      <c r="Z733" s="4"/>
      <c r="AA733" s="4"/>
      <c r="AD733" s="20" t="str">
        <f>IF((B733="")+(B733="Vacante")+(D733=""),"",IFERROR(MATCH(D733,{"Oficinas";"Locales";"Estacionamientos";"Bodegas"},0),5)&amp;"|"&amp;B733&amp;"|"&amp;TEXT(G733,"yyyymmdd")&amp;"|"&amp;TEXT(H733,"yyyymmdd"))</f>
        <v>3|CENTRAL PARKIING SYSTEM CHILE|-|20260228</v>
      </c>
      <c r="AE733" s="4"/>
      <c r="AF733" s="4"/>
    </row>
    <row r="734" spans="1:32" x14ac:dyDescent="0.2">
      <c r="A734" s="5">
        <v>-9</v>
      </c>
      <c r="B734" s="6" t="s">
        <v>147</v>
      </c>
      <c r="C734" s="6" t="s">
        <v>147</v>
      </c>
      <c r="D734" s="6" t="s">
        <v>10</v>
      </c>
      <c r="E734" s="5">
        <v>9109</v>
      </c>
      <c r="G734" s="9" t="s">
        <v>9</v>
      </c>
      <c r="H734" s="9">
        <v>46081</v>
      </c>
      <c r="I734" s="6" t="s">
        <v>2</v>
      </c>
      <c r="L734" s="18">
        <v>1</v>
      </c>
      <c r="M734" s="19">
        <v>0.84</v>
      </c>
      <c r="N734" s="18">
        <v>0.84</v>
      </c>
      <c r="T734" s="4"/>
      <c r="U734" s="4"/>
      <c r="V734" s="4"/>
      <c r="W734" s="4"/>
      <c r="X734" s="4"/>
      <c r="Y734" s="4"/>
      <c r="Z734" s="4"/>
      <c r="AA734" s="4"/>
      <c r="AD734" s="20" t="str">
        <f>IF((B734="")+(B734="Vacante")+(D734=""),"",IFERROR(MATCH(D734,{"Oficinas";"Locales";"Estacionamientos";"Bodegas"},0),5)&amp;"|"&amp;B734&amp;"|"&amp;TEXT(G734,"yyyymmdd")&amp;"|"&amp;TEXT(H734,"yyyymmdd"))</f>
        <v>3|CENTRAL PARKIING SYSTEM CHILE|-|20260228</v>
      </c>
      <c r="AE734" s="4"/>
      <c r="AF734" s="4"/>
    </row>
    <row r="735" spans="1:32" x14ac:dyDescent="0.2">
      <c r="A735" s="5">
        <v>-9</v>
      </c>
      <c r="B735" s="6" t="s">
        <v>147</v>
      </c>
      <c r="C735" s="6" t="s">
        <v>147</v>
      </c>
      <c r="D735" s="6" t="s">
        <v>10</v>
      </c>
      <c r="E735" s="5">
        <v>9110</v>
      </c>
      <c r="G735" s="9" t="s">
        <v>9</v>
      </c>
      <c r="H735" s="9">
        <v>46081</v>
      </c>
      <c r="I735" s="6" t="s">
        <v>2</v>
      </c>
      <c r="L735" s="18">
        <v>1</v>
      </c>
      <c r="M735" s="19">
        <v>0.84</v>
      </c>
      <c r="N735" s="18">
        <v>0.84</v>
      </c>
      <c r="T735" s="4"/>
      <c r="U735" s="4"/>
      <c r="V735" s="4"/>
      <c r="W735" s="4"/>
      <c r="X735" s="4"/>
      <c r="Y735" s="4"/>
      <c r="Z735" s="4"/>
      <c r="AA735" s="4"/>
      <c r="AD735" s="20" t="str">
        <f>IF((B735="")+(B735="Vacante")+(D735=""),"",IFERROR(MATCH(D735,{"Oficinas";"Locales";"Estacionamientos";"Bodegas"},0),5)&amp;"|"&amp;B735&amp;"|"&amp;TEXT(G735,"yyyymmdd")&amp;"|"&amp;TEXT(H735,"yyyymmdd"))</f>
        <v>3|CENTRAL PARKIING SYSTEM CHILE|-|20260228</v>
      </c>
      <c r="AE735" s="4"/>
      <c r="AF735" s="4"/>
    </row>
    <row r="736" spans="1:32" x14ac:dyDescent="0.2">
      <c r="A736" s="5">
        <v>-9</v>
      </c>
      <c r="B736" s="6" t="s">
        <v>147</v>
      </c>
      <c r="C736" s="6" t="s">
        <v>147</v>
      </c>
      <c r="D736" s="6" t="s">
        <v>10</v>
      </c>
      <c r="E736" s="5">
        <v>9111</v>
      </c>
      <c r="G736" s="9" t="s">
        <v>9</v>
      </c>
      <c r="H736" s="9">
        <v>46081</v>
      </c>
      <c r="I736" s="6" t="s">
        <v>2</v>
      </c>
      <c r="L736" s="18">
        <v>1</v>
      </c>
      <c r="M736" s="19">
        <v>0.84</v>
      </c>
      <c r="N736" s="18">
        <v>0.84</v>
      </c>
      <c r="T736" s="4"/>
      <c r="U736" s="4"/>
      <c r="V736" s="4"/>
      <c r="W736" s="4"/>
      <c r="X736" s="4"/>
      <c r="Y736" s="4"/>
      <c r="Z736" s="4"/>
      <c r="AA736" s="4"/>
      <c r="AD736" s="20" t="str">
        <f>IF((B736="")+(B736="Vacante")+(D736=""),"",IFERROR(MATCH(D736,{"Oficinas";"Locales";"Estacionamientos";"Bodegas"},0),5)&amp;"|"&amp;B736&amp;"|"&amp;TEXT(G736,"yyyymmdd")&amp;"|"&amp;TEXT(H736,"yyyymmdd"))</f>
        <v>3|CENTRAL PARKIING SYSTEM CHILE|-|20260228</v>
      </c>
      <c r="AE736" s="4"/>
      <c r="AF736" s="4"/>
    </row>
    <row r="737" spans="1:32" x14ac:dyDescent="0.2">
      <c r="A737" s="5">
        <v>-9</v>
      </c>
      <c r="B737" s="6" t="s">
        <v>147</v>
      </c>
      <c r="C737" s="6" t="s">
        <v>147</v>
      </c>
      <c r="D737" s="6" t="s">
        <v>10</v>
      </c>
      <c r="E737" s="5">
        <v>9112</v>
      </c>
      <c r="G737" s="9" t="s">
        <v>9</v>
      </c>
      <c r="H737" s="9">
        <v>46081</v>
      </c>
      <c r="I737" s="6" t="s">
        <v>2</v>
      </c>
      <c r="L737" s="18">
        <v>1</v>
      </c>
      <c r="M737" s="19">
        <v>0.84</v>
      </c>
      <c r="N737" s="18">
        <v>0.84</v>
      </c>
      <c r="T737" s="4"/>
      <c r="U737" s="4"/>
      <c r="V737" s="4"/>
      <c r="W737" s="4"/>
      <c r="X737" s="4"/>
      <c r="Y737" s="4"/>
      <c r="Z737" s="4"/>
      <c r="AA737" s="4"/>
      <c r="AD737" s="20" t="str">
        <f>IF((B737="")+(B737="Vacante")+(D737=""),"",IFERROR(MATCH(D737,{"Oficinas";"Locales";"Estacionamientos";"Bodegas"},0),5)&amp;"|"&amp;B737&amp;"|"&amp;TEXT(G737,"yyyymmdd")&amp;"|"&amp;TEXT(H737,"yyyymmdd"))</f>
        <v>3|CENTRAL PARKIING SYSTEM CHILE|-|20260228</v>
      </c>
      <c r="AE737" s="4"/>
      <c r="AF737" s="4"/>
    </row>
    <row r="738" spans="1:32" x14ac:dyDescent="0.2">
      <c r="A738" s="5">
        <v>-9</v>
      </c>
      <c r="B738" s="6" t="s">
        <v>147</v>
      </c>
      <c r="C738" s="6" t="s">
        <v>147</v>
      </c>
      <c r="D738" s="6" t="s">
        <v>10</v>
      </c>
      <c r="E738" s="5">
        <v>9113</v>
      </c>
      <c r="G738" s="9" t="s">
        <v>9</v>
      </c>
      <c r="H738" s="9">
        <v>46081</v>
      </c>
      <c r="I738" s="6" t="s">
        <v>2</v>
      </c>
      <c r="L738" s="18">
        <v>1</v>
      </c>
      <c r="M738" s="19">
        <v>0.84</v>
      </c>
      <c r="N738" s="18">
        <v>0.84</v>
      </c>
      <c r="T738" s="4"/>
      <c r="U738" s="4"/>
      <c r="V738" s="4"/>
      <c r="W738" s="4"/>
      <c r="X738" s="4"/>
      <c r="Y738" s="4"/>
      <c r="Z738" s="4"/>
      <c r="AA738" s="4"/>
      <c r="AD738" s="20" t="str">
        <f>IF((B738="")+(B738="Vacante")+(D738=""),"",IFERROR(MATCH(D738,{"Oficinas";"Locales";"Estacionamientos";"Bodegas"},0),5)&amp;"|"&amp;B738&amp;"|"&amp;TEXT(G738,"yyyymmdd")&amp;"|"&amp;TEXT(H738,"yyyymmdd"))</f>
        <v>3|CENTRAL PARKIING SYSTEM CHILE|-|20260228</v>
      </c>
      <c r="AE738" s="4"/>
      <c r="AF738" s="4"/>
    </row>
    <row r="739" spans="1:32" x14ac:dyDescent="0.2">
      <c r="A739" s="5">
        <v>-9</v>
      </c>
      <c r="B739" s="6" t="s">
        <v>147</v>
      </c>
      <c r="C739" s="6" t="s">
        <v>147</v>
      </c>
      <c r="D739" s="6" t="s">
        <v>10</v>
      </c>
      <c r="E739" s="5">
        <v>9114</v>
      </c>
      <c r="G739" s="9" t="s">
        <v>9</v>
      </c>
      <c r="H739" s="9">
        <v>46081</v>
      </c>
      <c r="I739" s="6" t="s">
        <v>2</v>
      </c>
      <c r="L739" s="18">
        <v>1</v>
      </c>
      <c r="M739" s="19">
        <v>0.84</v>
      </c>
      <c r="N739" s="18">
        <v>0.84</v>
      </c>
      <c r="T739" s="4"/>
      <c r="U739" s="4"/>
      <c r="V739" s="4"/>
      <c r="W739" s="4"/>
      <c r="X739" s="4"/>
      <c r="Y739" s="4"/>
      <c r="Z739" s="4"/>
      <c r="AA739" s="4"/>
      <c r="AD739" s="20" t="str">
        <f>IF((B739="")+(B739="Vacante")+(D739=""),"",IFERROR(MATCH(D739,{"Oficinas";"Locales";"Estacionamientos";"Bodegas"},0),5)&amp;"|"&amp;B739&amp;"|"&amp;TEXT(G739,"yyyymmdd")&amp;"|"&amp;TEXT(H739,"yyyymmdd"))</f>
        <v>3|CENTRAL PARKIING SYSTEM CHILE|-|20260228</v>
      </c>
      <c r="AE739" s="4"/>
      <c r="AF739" s="4"/>
    </row>
    <row r="740" spans="1:32" x14ac:dyDescent="0.2">
      <c r="A740" s="5">
        <v>-9</v>
      </c>
      <c r="B740" s="6" t="s">
        <v>147</v>
      </c>
      <c r="C740" s="6" t="s">
        <v>147</v>
      </c>
      <c r="D740" s="6" t="s">
        <v>10</v>
      </c>
      <c r="E740" s="5">
        <v>9115</v>
      </c>
      <c r="F740" s="6" t="s">
        <v>104</v>
      </c>
      <c r="G740" s="9" t="s">
        <v>9</v>
      </c>
      <c r="H740" s="9">
        <v>46081</v>
      </c>
      <c r="I740" s="6" t="s">
        <v>2</v>
      </c>
      <c r="L740" s="18">
        <v>1</v>
      </c>
      <c r="M740" s="19">
        <v>0.84</v>
      </c>
      <c r="N740" s="18">
        <v>0.84</v>
      </c>
      <c r="T740" s="4"/>
      <c r="U740" s="4"/>
      <c r="V740" s="4"/>
      <c r="W740" s="4"/>
      <c r="X740" s="4"/>
      <c r="Y740" s="4"/>
      <c r="Z740" s="4"/>
      <c r="AA740" s="4"/>
      <c r="AD740" s="20" t="str">
        <f>IF((B740="")+(B740="Vacante")+(D740=""),"",IFERROR(MATCH(D740,{"Oficinas";"Locales";"Estacionamientos";"Bodegas"},0),5)&amp;"|"&amp;B740&amp;"|"&amp;TEXT(G740,"yyyymmdd")&amp;"|"&amp;TEXT(H740,"yyyymmdd"))</f>
        <v>3|CENTRAL PARKIING SYSTEM CHILE|-|20260228</v>
      </c>
      <c r="AE740" s="4"/>
      <c r="AF740" s="4"/>
    </row>
    <row r="741" spans="1:32" x14ac:dyDescent="0.2">
      <c r="A741" s="5">
        <v>-9</v>
      </c>
      <c r="B741" s="6" t="s">
        <v>147</v>
      </c>
      <c r="C741" s="6" t="s">
        <v>147</v>
      </c>
      <c r="D741" s="6" t="s">
        <v>10</v>
      </c>
      <c r="E741" s="5">
        <v>9116</v>
      </c>
      <c r="F741" s="6" t="s">
        <v>104</v>
      </c>
      <c r="G741" s="9" t="s">
        <v>9</v>
      </c>
      <c r="H741" s="9">
        <v>46081</v>
      </c>
      <c r="I741" s="6" t="s">
        <v>2</v>
      </c>
      <c r="L741" s="18">
        <v>1</v>
      </c>
      <c r="M741" s="19">
        <v>0.84</v>
      </c>
      <c r="N741" s="18">
        <v>0.84</v>
      </c>
      <c r="T741" s="4"/>
      <c r="U741" s="4"/>
      <c r="V741" s="4"/>
      <c r="W741" s="4"/>
      <c r="X741" s="4"/>
      <c r="Y741" s="4"/>
      <c r="Z741" s="4"/>
      <c r="AA741" s="4"/>
      <c r="AD741" s="20" t="str">
        <f>IF((B741="")+(B741="Vacante")+(D741=""),"",IFERROR(MATCH(D741,{"Oficinas";"Locales";"Estacionamientos";"Bodegas"},0),5)&amp;"|"&amp;B741&amp;"|"&amp;TEXT(G741,"yyyymmdd")&amp;"|"&amp;TEXT(H741,"yyyymmdd"))</f>
        <v>3|CENTRAL PARKIING SYSTEM CHILE|-|20260228</v>
      </c>
      <c r="AE741" s="4"/>
      <c r="AF741" s="4"/>
    </row>
    <row r="742" spans="1:32" x14ac:dyDescent="0.2">
      <c r="A742" s="5">
        <v>-9</v>
      </c>
      <c r="B742" s="6" t="s">
        <v>147</v>
      </c>
      <c r="C742" s="6" t="s">
        <v>147</v>
      </c>
      <c r="D742" s="6" t="s">
        <v>10</v>
      </c>
      <c r="E742" s="5">
        <v>9117</v>
      </c>
      <c r="F742" s="6" t="s">
        <v>104</v>
      </c>
      <c r="G742" s="9" t="s">
        <v>9</v>
      </c>
      <c r="H742" s="9">
        <v>46081</v>
      </c>
      <c r="I742" s="6" t="s">
        <v>2</v>
      </c>
      <c r="L742" s="18">
        <v>1</v>
      </c>
      <c r="M742" s="19">
        <v>0.84</v>
      </c>
      <c r="N742" s="18">
        <v>0.84</v>
      </c>
      <c r="T742" s="4"/>
      <c r="U742" s="4"/>
      <c r="V742" s="4"/>
      <c r="W742" s="4"/>
      <c r="X742" s="4"/>
      <c r="Y742" s="4"/>
      <c r="Z742" s="4"/>
      <c r="AA742" s="4"/>
      <c r="AD742" s="20" t="str">
        <f>IF((B742="")+(B742="Vacante")+(D742=""),"",IFERROR(MATCH(D742,{"Oficinas";"Locales";"Estacionamientos";"Bodegas"},0),5)&amp;"|"&amp;B742&amp;"|"&amp;TEXT(G742,"yyyymmdd")&amp;"|"&amp;TEXT(H742,"yyyymmdd"))</f>
        <v>3|CENTRAL PARKIING SYSTEM CHILE|-|20260228</v>
      </c>
      <c r="AE742" s="4"/>
      <c r="AF742" s="4"/>
    </row>
    <row r="743" spans="1:32" x14ac:dyDescent="0.2">
      <c r="A743" s="5">
        <v>-9</v>
      </c>
      <c r="B743" s="6" t="s">
        <v>147</v>
      </c>
      <c r="C743" s="6" t="s">
        <v>147</v>
      </c>
      <c r="D743" s="6" t="s">
        <v>10</v>
      </c>
      <c r="E743" s="5">
        <v>9118</v>
      </c>
      <c r="F743" s="6" t="s">
        <v>104</v>
      </c>
      <c r="G743" s="9" t="s">
        <v>9</v>
      </c>
      <c r="H743" s="9">
        <v>46081</v>
      </c>
      <c r="I743" s="6" t="s">
        <v>2</v>
      </c>
      <c r="L743" s="18">
        <v>1</v>
      </c>
      <c r="M743" s="19">
        <v>0.84</v>
      </c>
      <c r="N743" s="18">
        <v>0.84</v>
      </c>
      <c r="T743" s="4"/>
      <c r="U743" s="4"/>
      <c r="V743" s="4"/>
      <c r="W743" s="4"/>
      <c r="X743" s="4"/>
      <c r="Y743" s="4"/>
      <c r="Z743" s="4"/>
      <c r="AA743" s="4"/>
      <c r="AD743" s="20" t="str">
        <f>IF((B743="")+(B743="Vacante")+(D743=""),"",IFERROR(MATCH(D743,{"Oficinas";"Locales";"Estacionamientos";"Bodegas"},0),5)&amp;"|"&amp;B743&amp;"|"&amp;TEXT(G743,"yyyymmdd")&amp;"|"&amp;TEXT(H743,"yyyymmdd"))</f>
        <v>3|CENTRAL PARKIING SYSTEM CHILE|-|20260228</v>
      </c>
      <c r="AE743" s="4"/>
      <c r="AF743" s="4"/>
    </row>
    <row r="744" spans="1:32" x14ac:dyDescent="0.2">
      <c r="A744" s="5">
        <v>-9</v>
      </c>
      <c r="B744" s="6" t="s">
        <v>147</v>
      </c>
      <c r="C744" s="6" t="s">
        <v>147</v>
      </c>
      <c r="D744" s="6" t="s">
        <v>10</v>
      </c>
      <c r="E744" s="5">
        <v>9119</v>
      </c>
      <c r="F744" s="6" t="s">
        <v>104</v>
      </c>
      <c r="G744" s="9" t="s">
        <v>9</v>
      </c>
      <c r="H744" s="9">
        <v>46081</v>
      </c>
      <c r="I744" s="6" t="s">
        <v>2</v>
      </c>
      <c r="L744" s="18">
        <v>1</v>
      </c>
      <c r="M744" s="19">
        <v>0.84</v>
      </c>
      <c r="N744" s="18">
        <v>0.84</v>
      </c>
      <c r="T744" s="4"/>
      <c r="U744" s="4"/>
      <c r="V744" s="4"/>
      <c r="W744" s="4"/>
      <c r="X744" s="4"/>
      <c r="Y744" s="4"/>
      <c r="Z744" s="4"/>
      <c r="AA744" s="4"/>
      <c r="AD744" s="20" t="str">
        <f>IF((B744="")+(B744="Vacante")+(D744=""),"",IFERROR(MATCH(D744,{"Oficinas";"Locales";"Estacionamientos";"Bodegas"},0),5)&amp;"|"&amp;B744&amp;"|"&amp;TEXT(G744,"yyyymmdd")&amp;"|"&amp;TEXT(H744,"yyyymmdd"))</f>
        <v>3|CENTRAL PARKIING SYSTEM CHILE|-|20260228</v>
      </c>
      <c r="AE744" s="4"/>
      <c r="AF744" s="4"/>
    </row>
    <row r="745" spans="1:32" x14ac:dyDescent="0.2">
      <c r="A745" s="5">
        <v>-9</v>
      </c>
      <c r="B745" s="6" t="s">
        <v>147</v>
      </c>
      <c r="C745" s="6" t="s">
        <v>147</v>
      </c>
      <c r="D745" s="6" t="s">
        <v>10</v>
      </c>
      <c r="E745" s="5">
        <v>9120</v>
      </c>
      <c r="G745" s="9" t="s">
        <v>9</v>
      </c>
      <c r="H745" s="9">
        <v>46081</v>
      </c>
      <c r="I745" s="6" t="s">
        <v>2</v>
      </c>
      <c r="L745" s="18">
        <v>1</v>
      </c>
      <c r="M745" s="19">
        <v>0.84</v>
      </c>
      <c r="N745" s="18">
        <v>0.84</v>
      </c>
      <c r="T745" s="4"/>
      <c r="U745" s="4"/>
      <c r="V745" s="4"/>
      <c r="W745" s="4"/>
      <c r="X745" s="4"/>
      <c r="Y745" s="4"/>
      <c r="Z745" s="4"/>
      <c r="AA745" s="4"/>
      <c r="AD745" s="20" t="str">
        <f>IF((B745="")+(B745="Vacante")+(D745=""),"",IFERROR(MATCH(D745,{"Oficinas";"Locales";"Estacionamientos";"Bodegas"},0),5)&amp;"|"&amp;B745&amp;"|"&amp;TEXT(G745,"yyyymmdd")&amp;"|"&amp;TEXT(H745,"yyyymmdd"))</f>
        <v>3|CENTRAL PARKIING SYSTEM CHILE|-|20260228</v>
      </c>
      <c r="AE745" s="4"/>
      <c r="AF745" s="4"/>
    </row>
    <row r="746" spans="1:32" x14ac:dyDescent="0.2">
      <c r="A746" s="5">
        <v>-9</v>
      </c>
      <c r="B746" s="6" t="s">
        <v>147</v>
      </c>
      <c r="C746" s="6" t="s">
        <v>147</v>
      </c>
      <c r="D746" s="6" t="s">
        <v>10</v>
      </c>
      <c r="E746" s="5">
        <v>9121</v>
      </c>
      <c r="G746" s="9" t="s">
        <v>9</v>
      </c>
      <c r="H746" s="9">
        <v>46081</v>
      </c>
      <c r="I746" s="6" t="s">
        <v>2</v>
      </c>
      <c r="L746" s="18">
        <v>1</v>
      </c>
      <c r="M746" s="19">
        <v>0.84</v>
      </c>
      <c r="N746" s="18">
        <v>0.84</v>
      </c>
      <c r="T746" s="4"/>
      <c r="U746" s="4"/>
      <c r="V746" s="4"/>
      <c r="W746" s="4"/>
      <c r="X746" s="4"/>
      <c r="Y746" s="4"/>
      <c r="Z746" s="4"/>
      <c r="AA746" s="4"/>
      <c r="AD746" s="20" t="str">
        <f>IF((B746="")+(B746="Vacante")+(D746=""),"",IFERROR(MATCH(D746,{"Oficinas";"Locales";"Estacionamientos";"Bodegas"},0),5)&amp;"|"&amp;B746&amp;"|"&amp;TEXT(G746,"yyyymmdd")&amp;"|"&amp;TEXT(H746,"yyyymmdd"))</f>
        <v>3|CENTRAL PARKIING SYSTEM CHILE|-|20260228</v>
      </c>
      <c r="AE746" s="4"/>
      <c r="AF746" s="4"/>
    </row>
    <row r="747" spans="1:32" x14ac:dyDescent="0.2">
      <c r="A747" s="5">
        <v>-9</v>
      </c>
      <c r="B747" s="6" t="s">
        <v>147</v>
      </c>
      <c r="C747" s="6" t="s">
        <v>147</v>
      </c>
      <c r="D747" s="6" t="s">
        <v>10</v>
      </c>
      <c r="E747" s="5">
        <v>9122</v>
      </c>
      <c r="G747" s="9" t="s">
        <v>9</v>
      </c>
      <c r="H747" s="9">
        <v>46081</v>
      </c>
      <c r="I747" s="6" t="s">
        <v>2</v>
      </c>
      <c r="L747" s="18">
        <v>1</v>
      </c>
      <c r="M747" s="19">
        <v>0.84</v>
      </c>
      <c r="N747" s="18">
        <v>0.84</v>
      </c>
      <c r="T747" s="4"/>
      <c r="U747" s="4"/>
      <c r="V747" s="4"/>
      <c r="W747" s="4"/>
      <c r="X747" s="4"/>
      <c r="Y747" s="4"/>
      <c r="Z747" s="4"/>
      <c r="AA747" s="4"/>
      <c r="AD747" s="20" t="str">
        <f>IF((B747="")+(B747="Vacante")+(D747=""),"",IFERROR(MATCH(D747,{"Oficinas";"Locales";"Estacionamientos";"Bodegas"},0),5)&amp;"|"&amp;B747&amp;"|"&amp;TEXT(G747,"yyyymmdd")&amp;"|"&amp;TEXT(H747,"yyyymmdd"))</f>
        <v>3|CENTRAL PARKIING SYSTEM CHILE|-|20260228</v>
      </c>
      <c r="AE747" s="4"/>
      <c r="AF747" s="4"/>
    </row>
    <row r="748" spans="1:32" x14ac:dyDescent="0.2">
      <c r="A748" s="5">
        <v>-9</v>
      </c>
      <c r="B748" s="6" t="s">
        <v>147</v>
      </c>
      <c r="C748" s="6" t="s">
        <v>147</v>
      </c>
      <c r="D748" s="6" t="s">
        <v>10</v>
      </c>
      <c r="E748" s="5">
        <v>9123</v>
      </c>
      <c r="G748" s="9" t="s">
        <v>9</v>
      </c>
      <c r="H748" s="9">
        <v>46081</v>
      </c>
      <c r="I748" s="6" t="s">
        <v>2</v>
      </c>
      <c r="L748" s="18">
        <v>1</v>
      </c>
      <c r="M748" s="19">
        <v>0.84</v>
      </c>
      <c r="N748" s="18">
        <v>0.84</v>
      </c>
      <c r="T748" s="4"/>
      <c r="U748" s="4"/>
      <c r="V748" s="4"/>
      <c r="W748" s="4"/>
      <c r="X748" s="4"/>
      <c r="Y748" s="4"/>
      <c r="Z748" s="4"/>
      <c r="AA748" s="4"/>
      <c r="AD748" s="20" t="str">
        <f>IF((B748="")+(B748="Vacante")+(D748=""),"",IFERROR(MATCH(D748,{"Oficinas";"Locales";"Estacionamientos";"Bodegas"},0),5)&amp;"|"&amp;B748&amp;"|"&amp;TEXT(G748,"yyyymmdd")&amp;"|"&amp;TEXT(H748,"yyyymmdd"))</f>
        <v>3|CENTRAL PARKIING SYSTEM CHILE|-|20260228</v>
      </c>
      <c r="AE748" s="4"/>
      <c r="AF748" s="4"/>
    </row>
    <row r="749" spans="1:32" x14ac:dyDescent="0.2">
      <c r="A749" s="5">
        <v>-9</v>
      </c>
      <c r="B749" s="6" t="s">
        <v>147</v>
      </c>
      <c r="C749" s="6" t="s">
        <v>147</v>
      </c>
      <c r="D749" s="6" t="s">
        <v>10</v>
      </c>
      <c r="E749" s="5">
        <v>9124</v>
      </c>
      <c r="F749" s="6" t="s">
        <v>104</v>
      </c>
      <c r="G749" s="9" t="s">
        <v>9</v>
      </c>
      <c r="H749" s="9">
        <v>46081</v>
      </c>
      <c r="I749" s="6" t="s">
        <v>2</v>
      </c>
      <c r="L749" s="18">
        <v>1</v>
      </c>
      <c r="M749" s="19">
        <v>0.84</v>
      </c>
      <c r="N749" s="18">
        <v>0.84</v>
      </c>
      <c r="T749" s="4"/>
      <c r="U749" s="4"/>
      <c r="V749" s="4"/>
      <c r="W749" s="4"/>
      <c r="X749" s="4"/>
      <c r="Y749" s="4"/>
      <c r="Z749" s="4"/>
      <c r="AA749" s="4"/>
      <c r="AD749" s="20" t="str">
        <f>IF((B749="")+(B749="Vacante")+(D749=""),"",IFERROR(MATCH(D749,{"Oficinas";"Locales";"Estacionamientos";"Bodegas"},0),5)&amp;"|"&amp;B749&amp;"|"&amp;TEXT(G749,"yyyymmdd")&amp;"|"&amp;TEXT(H749,"yyyymmdd"))</f>
        <v>3|CENTRAL PARKIING SYSTEM CHILE|-|20260228</v>
      </c>
      <c r="AE749" s="4"/>
      <c r="AF749" s="4"/>
    </row>
    <row r="750" spans="1:32" x14ac:dyDescent="0.2">
      <c r="A750" s="5">
        <v>-9</v>
      </c>
      <c r="B750" s="6" t="s">
        <v>147</v>
      </c>
      <c r="C750" s="6" t="s">
        <v>147</v>
      </c>
      <c r="D750" s="6" t="s">
        <v>10</v>
      </c>
      <c r="E750" s="5">
        <v>9125</v>
      </c>
      <c r="G750" s="9" t="s">
        <v>9</v>
      </c>
      <c r="H750" s="9">
        <v>46081</v>
      </c>
      <c r="I750" s="6" t="s">
        <v>2</v>
      </c>
      <c r="L750" s="18">
        <v>1</v>
      </c>
      <c r="M750" s="19">
        <v>0.84</v>
      </c>
      <c r="N750" s="18">
        <v>0.84</v>
      </c>
      <c r="T750" s="4"/>
      <c r="U750" s="4"/>
      <c r="V750" s="4"/>
      <c r="W750" s="4"/>
      <c r="X750" s="4"/>
      <c r="Y750" s="4"/>
      <c r="Z750" s="4"/>
      <c r="AA750" s="4"/>
      <c r="AD750" s="20" t="str">
        <f>IF((B750="")+(B750="Vacante")+(D750=""),"",IFERROR(MATCH(D750,{"Oficinas";"Locales";"Estacionamientos";"Bodegas"},0),5)&amp;"|"&amp;B750&amp;"|"&amp;TEXT(G750,"yyyymmdd")&amp;"|"&amp;TEXT(H750,"yyyymmdd"))</f>
        <v>3|CENTRAL PARKIING SYSTEM CHILE|-|20260228</v>
      </c>
      <c r="AE750" s="4"/>
      <c r="AF750" s="4"/>
    </row>
    <row r="751" spans="1:32" x14ac:dyDescent="0.2">
      <c r="A751" s="5">
        <v>-9</v>
      </c>
      <c r="B751" s="6" t="s">
        <v>147</v>
      </c>
      <c r="C751" s="6" t="s">
        <v>147</v>
      </c>
      <c r="D751" s="6" t="s">
        <v>10</v>
      </c>
      <c r="E751" s="5">
        <v>9126</v>
      </c>
      <c r="G751" s="9" t="s">
        <v>9</v>
      </c>
      <c r="H751" s="9">
        <v>46081</v>
      </c>
      <c r="I751" s="6" t="s">
        <v>2</v>
      </c>
      <c r="L751" s="18">
        <v>1</v>
      </c>
      <c r="M751" s="19">
        <v>0.84</v>
      </c>
      <c r="N751" s="18">
        <v>0.84</v>
      </c>
      <c r="T751" s="4"/>
      <c r="U751" s="4"/>
      <c r="V751" s="4"/>
      <c r="W751" s="4"/>
      <c r="X751" s="4"/>
      <c r="Y751" s="4"/>
      <c r="Z751" s="4"/>
      <c r="AA751" s="4"/>
      <c r="AD751" s="20" t="str">
        <f>IF((B751="")+(B751="Vacante")+(D751=""),"",IFERROR(MATCH(D751,{"Oficinas";"Locales";"Estacionamientos";"Bodegas"},0),5)&amp;"|"&amp;B751&amp;"|"&amp;TEXT(G751,"yyyymmdd")&amp;"|"&amp;TEXT(H751,"yyyymmdd"))</f>
        <v>3|CENTRAL PARKIING SYSTEM CHILE|-|20260228</v>
      </c>
      <c r="AE751" s="4"/>
      <c r="AF751" s="4"/>
    </row>
    <row r="752" spans="1:32" x14ac:dyDescent="0.2">
      <c r="A752" s="5">
        <v>-9</v>
      </c>
      <c r="B752" s="6" t="s">
        <v>147</v>
      </c>
      <c r="C752" s="6" t="s">
        <v>147</v>
      </c>
      <c r="D752" s="6" t="s">
        <v>10</v>
      </c>
      <c r="E752" s="5">
        <v>9127</v>
      </c>
      <c r="G752" s="9" t="s">
        <v>9</v>
      </c>
      <c r="H752" s="9">
        <v>46081</v>
      </c>
      <c r="I752" s="6" t="s">
        <v>2</v>
      </c>
      <c r="L752" s="18">
        <v>1</v>
      </c>
      <c r="M752" s="19">
        <v>0.84</v>
      </c>
      <c r="N752" s="18">
        <v>0.84</v>
      </c>
      <c r="T752" s="4"/>
      <c r="U752" s="4"/>
      <c r="V752" s="4"/>
      <c r="W752" s="4"/>
      <c r="X752" s="4"/>
      <c r="Y752" s="4"/>
      <c r="Z752" s="4"/>
      <c r="AA752" s="4"/>
      <c r="AD752" s="20" t="str">
        <f>IF((B752="")+(B752="Vacante")+(D752=""),"",IFERROR(MATCH(D752,{"Oficinas";"Locales";"Estacionamientos";"Bodegas"},0),5)&amp;"|"&amp;B752&amp;"|"&amp;TEXT(G752,"yyyymmdd")&amp;"|"&amp;TEXT(H752,"yyyymmdd"))</f>
        <v>3|CENTRAL PARKIING SYSTEM CHILE|-|20260228</v>
      </c>
      <c r="AE752" s="4"/>
      <c r="AF752" s="4"/>
    </row>
    <row r="753" spans="1:32" x14ac:dyDescent="0.2">
      <c r="A753" s="5">
        <v>-9</v>
      </c>
      <c r="B753" s="6" t="s">
        <v>147</v>
      </c>
      <c r="C753" s="6" t="s">
        <v>147</v>
      </c>
      <c r="D753" s="6" t="s">
        <v>10</v>
      </c>
      <c r="E753" s="5">
        <v>9128</v>
      </c>
      <c r="G753" s="9" t="s">
        <v>9</v>
      </c>
      <c r="H753" s="9">
        <v>46081</v>
      </c>
      <c r="I753" s="6" t="s">
        <v>2</v>
      </c>
      <c r="L753" s="18">
        <v>1</v>
      </c>
      <c r="M753" s="19">
        <v>0.84</v>
      </c>
      <c r="N753" s="18">
        <v>0.84</v>
      </c>
      <c r="T753" s="4"/>
      <c r="U753" s="4"/>
      <c r="V753" s="4"/>
      <c r="W753" s="4"/>
      <c r="X753" s="4"/>
      <c r="Y753" s="4"/>
      <c r="Z753" s="4"/>
      <c r="AA753" s="4"/>
      <c r="AD753" s="20" t="str">
        <f>IF((B753="")+(B753="Vacante")+(D753=""),"",IFERROR(MATCH(D753,{"Oficinas";"Locales";"Estacionamientos";"Bodegas"},0),5)&amp;"|"&amp;B753&amp;"|"&amp;TEXT(G753,"yyyymmdd")&amp;"|"&amp;TEXT(H753,"yyyymmdd"))</f>
        <v>3|CENTRAL PARKIING SYSTEM CHILE|-|20260228</v>
      </c>
      <c r="AE753" s="4"/>
      <c r="AF753" s="4"/>
    </row>
    <row r="754" spans="1:32" x14ac:dyDescent="0.2">
      <c r="A754" s="5">
        <v>-9</v>
      </c>
      <c r="B754" s="6" t="s">
        <v>147</v>
      </c>
      <c r="C754" s="6" t="s">
        <v>147</v>
      </c>
      <c r="D754" s="6" t="s">
        <v>10</v>
      </c>
      <c r="E754" s="5">
        <v>9129</v>
      </c>
      <c r="F754" s="6" t="s">
        <v>104</v>
      </c>
      <c r="G754" s="9" t="s">
        <v>9</v>
      </c>
      <c r="H754" s="9">
        <v>46081</v>
      </c>
      <c r="I754" s="6" t="s">
        <v>2</v>
      </c>
      <c r="L754" s="18">
        <v>1</v>
      </c>
      <c r="M754" s="19">
        <v>0.84</v>
      </c>
      <c r="N754" s="18">
        <v>0.84</v>
      </c>
      <c r="T754" s="4"/>
      <c r="U754" s="4"/>
      <c r="V754" s="4"/>
      <c r="W754" s="4"/>
      <c r="X754" s="4"/>
      <c r="Y754" s="4"/>
      <c r="Z754" s="4"/>
      <c r="AA754" s="4"/>
      <c r="AD754" s="20" t="str">
        <f>IF((B754="")+(B754="Vacante")+(D754=""),"",IFERROR(MATCH(D754,{"Oficinas";"Locales";"Estacionamientos";"Bodegas"},0),5)&amp;"|"&amp;B754&amp;"|"&amp;TEXT(G754,"yyyymmdd")&amp;"|"&amp;TEXT(H754,"yyyymmdd"))</f>
        <v>3|CENTRAL PARKIING SYSTEM CHILE|-|20260228</v>
      </c>
      <c r="AE754" s="4"/>
      <c r="AF754" s="4"/>
    </row>
    <row r="755" spans="1:32" x14ac:dyDescent="0.2">
      <c r="A755" s="5">
        <v>-9</v>
      </c>
      <c r="B755" s="6" t="s">
        <v>147</v>
      </c>
      <c r="C755" s="6" t="s">
        <v>147</v>
      </c>
      <c r="D755" s="6" t="s">
        <v>10</v>
      </c>
      <c r="E755" s="5">
        <v>9130</v>
      </c>
      <c r="F755" s="6" t="s">
        <v>104</v>
      </c>
      <c r="G755" s="9" t="s">
        <v>9</v>
      </c>
      <c r="H755" s="9">
        <v>46081</v>
      </c>
      <c r="I755" s="6" t="s">
        <v>2</v>
      </c>
      <c r="L755" s="18">
        <v>1</v>
      </c>
      <c r="M755" s="19">
        <v>0.84</v>
      </c>
      <c r="N755" s="18">
        <v>0.84</v>
      </c>
      <c r="T755" s="4"/>
      <c r="U755" s="4"/>
      <c r="V755" s="4"/>
      <c r="W755" s="4"/>
      <c r="X755" s="4"/>
      <c r="Y755" s="4"/>
      <c r="Z755" s="4"/>
      <c r="AA755" s="4"/>
      <c r="AD755" s="20" t="str">
        <f>IF((B755="")+(B755="Vacante")+(D755=""),"",IFERROR(MATCH(D755,{"Oficinas";"Locales";"Estacionamientos";"Bodegas"},0),5)&amp;"|"&amp;B755&amp;"|"&amp;TEXT(G755,"yyyymmdd")&amp;"|"&amp;TEXT(H755,"yyyymmdd"))</f>
        <v>3|CENTRAL PARKIING SYSTEM CHILE|-|20260228</v>
      </c>
      <c r="AE755" s="4"/>
      <c r="AF755" s="4"/>
    </row>
    <row r="756" spans="1:32" x14ac:dyDescent="0.2">
      <c r="A756" s="5">
        <v>-9</v>
      </c>
      <c r="B756" s="6" t="s">
        <v>147</v>
      </c>
      <c r="C756" s="6" t="s">
        <v>147</v>
      </c>
      <c r="D756" s="6" t="s">
        <v>10</v>
      </c>
      <c r="E756" s="5">
        <v>9131</v>
      </c>
      <c r="F756" s="6" t="s">
        <v>104</v>
      </c>
      <c r="G756" s="9" t="s">
        <v>9</v>
      </c>
      <c r="H756" s="9">
        <v>46081</v>
      </c>
      <c r="I756" s="6" t="s">
        <v>2</v>
      </c>
      <c r="L756" s="18">
        <v>1</v>
      </c>
      <c r="M756" s="19">
        <v>0.84</v>
      </c>
      <c r="N756" s="18">
        <v>0.84</v>
      </c>
      <c r="T756" s="4"/>
      <c r="U756" s="4"/>
      <c r="V756" s="4"/>
      <c r="W756" s="4"/>
      <c r="X756" s="4"/>
      <c r="Y756" s="4"/>
      <c r="Z756" s="4"/>
      <c r="AA756" s="4"/>
      <c r="AD756" s="20" t="str">
        <f>IF((B756="")+(B756="Vacante")+(D756=""),"",IFERROR(MATCH(D756,{"Oficinas";"Locales";"Estacionamientos";"Bodegas"},0),5)&amp;"|"&amp;B756&amp;"|"&amp;TEXT(G756,"yyyymmdd")&amp;"|"&amp;TEXT(H756,"yyyymmdd"))</f>
        <v>3|CENTRAL PARKIING SYSTEM CHILE|-|20260228</v>
      </c>
      <c r="AE756" s="4"/>
      <c r="AF756" s="4"/>
    </row>
    <row r="757" spans="1:32" x14ac:dyDescent="0.2">
      <c r="A757" s="5">
        <v>-9</v>
      </c>
      <c r="B757" s="6" t="s">
        <v>147</v>
      </c>
      <c r="C757" s="6" t="s">
        <v>147</v>
      </c>
      <c r="D757" s="6" t="s">
        <v>10</v>
      </c>
      <c r="E757" s="5">
        <v>9132</v>
      </c>
      <c r="G757" s="9" t="s">
        <v>9</v>
      </c>
      <c r="H757" s="9">
        <v>46081</v>
      </c>
      <c r="I757" s="6" t="s">
        <v>2</v>
      </c>
      <c r="L757" s="18">
        <v>1</v>
      </c>
      <c r="M757" s="19">
        <v>0.84</v>
      </c>
      <c r="N757" s="18">
        <v>0.84</v>
      </c>
      <c r="T757" s="4"/>
      <c r="U757" s="4"/>
      <c r="V757" s="4"/>
      <c r="W757" s="4"/>
      <c r="X757" s="4"/>
      <c r="Y757" s="4"/>
      <c r="Z757" s="4"/>
      <c r="AA757" s="4"/>
      <c r="AD757" s="20" t="str">
        <f>IF((B757="")+(B757="Vacante")+(D757=""),"",IFERROR(MATCH(D757,{"Oficinas";"Locales";"Estacionamientos";"Bodegas"},0),5)&amp;"|"&amp;B757&amp;"|"&amp;TEXT(G757,"yyyymmdd")&amp;"|"&amp;TEXT(H757,"yyyymmdd"))</f>
        <v>3|CENTRAL PARKIING SYSTEM CHILE|-|20260228</v>
      </c>
      <c r="AE757" s="4"/>
      <c r="AF757" s="4"/>
    </row>
    <row r="758" spans="1:32" x14ac:dyDescent="0.2">
      <c r="AD758" s="4"/>
      <c r="AE758" s="4"/>
      <c r="AF758" s="4"/>
    </row>
    <row r="759" spans="1:32" x14ac:dyDescent="0.2">
      <c r="AD759" s="4"/>
      <c r="AE759" s="4"/>
      <c r="AF759" s="4"/>
    </row>
    <row r="760" spans="1:32" x14ac:dyDescent="0.2">
      <c r="AD760" s="4"/>
      <c r="AE760" s="4"/>
      <c r="AF760" s="4"/>
    </row>
    <row r="761" spans="1:32" x14ac:dyDescent="0.2">
      <c r="AD761" s="4"/>
      <c r="AE761" s="4"/>
      <c r="AF761" s="4"/>
    </row>
    <row r="762" spans="1:32" x14ac:dyDescent="0.2">
      <c r="AD762" s="4"/>
      <c r="AE762" s="4"/>
      <c r="AF762" s="4"/>
    </row>
    <row r="763" spans="1:32" x14ac:dyDescent="0.2">
      <c r="AD763" s="4"/>
      <c r="AE763" s="4"/>
      <c r="AF763" s="4"/>
    </row>
    <row r="764" spans="1:32" x14ac:dyDescent="0.2">
      <c r="AD764" s="4"/>
      <c r="AE764" s="4"/>
      <c r="AF764" s="4"/>
    </row>
    <row r="765" spans="1:32" x14ac:dyDescent="0.2">
      <c r="AD765" s="4"/>
      <c r="AE765" s="4"/>
      <c r="AF765" s="4"/>
    </row>
    <row r="766" spans="1:32" x14ac:dyDescent="0.2">
      <c r="AD766" s="4"/>
      <c r="AE766" s="4"/>
      <c r="AF766" s="4"/>
    </row>
    <row r="767" spans="1:32" x14ac:dyDescent="0.2">
      <c r="AD767" s="4"/>
      <c r="AE767" s="4"/>
      <c r="AF767" s="4"/>
    </row>
    <row r="768" spans="1:32" x14ac:dyDescent="0.2">
      <c r="AD768" s="4"/>
      <c r="AE768" s="4"/>
      <c r="AF768" s="4"/>
    </row>
    <row r="769" spans="30:32" x14ac:dyDescent="0.2">
      <c r="AD769" s="4"/>
      <c r="AE769" s="4"/>
      <c r="AF769" s="4"/>
    </row>
    <row r="770" spans="30:32" x14ac:dyDescent="0.2">
      <c r="AD770" s="4"/>
      <c r="AE770" s="4"/>
      <c r="AF770" s="4"/>
    </row>
    <row r="771" spans="30:32" x14ac:dyDescent="0.2">
      <c r="AD771" s="4"/>
      <c r="AE771" s="4"/>
      <c r="AF771" s="4"/>
    </row>
    <row r="772" spans="30:32" x14ac:dyDescent="0.2">
      <c r="AD772" s="4"/>
      <c r="AE772" s="4"/>
      <c r="AF772" s="4"/>
    </row>
    <row r="773" spans="30:32" x14ac:dyDescent="0.2">
      <c r="AD773" s="4"/>
      <c r="AE773" s="4"/>
      <c r="AF773" s="4"/>
    </row>
    <row r="774" spans="30:32" x14ac:dyDescent="0.2">
      <c r="AD774" s="4"/>
      <c r="AE774" s="4"/>
      <c r="AF774" s="4"/>
    </row>
    <row r="775" spans="30:32" x14ac:dyDescent="0.2">
      <c r="AD775" s="4"/>
      <c r="AE775" s="4"/>
      <c r="AF775" s="4"/>
    </row>
    <row r="776" spans="30:32" x14ac:dyDescent="0.2">
      <c r="AD776" s="4"/>
      <c r="AE776" s="4"/>
      <c r="AF776" s="4"/>
    </row>
    <row r="777" spans="30:32" x14ac:dyDescent="0.2">
      <c r="AD777" s="4"/>
      <c r="AE777" s="4"/>
      <c r="AF777" s="4"/>
    </row>
    <row r="778" spans="30:32" x14ac:dyDescent="0.2">
      <c r="AD778" s="4"/>
      <c r="AE778" s="4"/>
      <c r="AF778" s="4"/>
    </row>
    <row r="779" spans="30:32" x14ac:dyDescent="0.2">
      <c r="AD779" s="4"/>
      <c r="AE779" s="4"/>
      <c r="AF779" s="4"/>
    </row>
    <row r="780" spans="30:32" x14ac:dyDescent="0.2">
      <c r="AD780" s="4"/>
      <c r="AE780" s="4"/>
      <c r="AF780" s="4"/>
    </row>
    <row r="781" spans="30:32" x14ac:dyDescent="0.2">
      <c r="AD781" s="4"/>
      <c r="AE781" s="4"/>
      <c r="AF781" s="4"/>
    </row>
    <row r="782" spans="30:32" x14ac:dyDescent="0.2">
      <c r="AD782" s="4"/>
      <c r="AE782" s="4"/>
      <c r="AF782" s="4"/>
    </row>
    <row r="783" spans="30:32" x14ac:dyDescent="0.2">
      <c r="AD783" s="4"/>
      <c r="AE783" s="4"/>
      <c r="AF783" s="4"/>
    </row>
    <row r="784" spans="30:32" x14ac:dyDescent="0.2">
      <c r="AD784" s="4"/>
      <c r="AE784" s="4"/>
      <c r="AF784" s="4"/>
    </row>
    <row r="785" spans="30:32" x14ac:dyDescent="0.2">
      <c r="AD785" s="4"/>
      <c r="AE785" s="4"/>
      <c r="AF785" s="4"/>
    </row>
    <row r="786" spans="30:32" x14ac:dyDescent="0.2">
      <c r="AD786" s="4"/>
      <c r="AE786" s="4"/>
      <c r="AF786" s="4"/>
    </row>
    <row r="787" spans="30:32" x14ac:dyDescent="0.2">
      <c r="AD787" s="4"/>
      <c r="AE787" s="4"/>
      <c r="AF787" s="4"/>
    </row>
    <row r="788" spans="30:32" x14ac:dyDescent="0.2">
      <c r="AD788" s="4"/>
      <c r="AE788" s="4"/>
      <c r="AF788" s="4"/>
    </row>
    <row r="789" spans="30:32" x14ac:dyDescent="0.2">
      <c r="AD789" s="4"/>
      <c r="AE789" s="4"/>
      <c r="AF789" s="4"/>
    </row>
    <row r="790" spans="30:32" x14ac:dyDescent="0.2">
      <c r="AD790" s="4"/>
      <c r="AE790" s="4"/>
      <c r="AF790" s="4"/>
    </row>
    <row r="791" spans="30:32" x14ac:dyDescent="0.2">
      <c r="AD791" s="4"/>
      <c r="AE791" s="4"/>
      <c r="AF791" s="4"/>
    </row>
    <row r="792" spans="30:32" x14ac:dyDescent="0.2">
      <c r="AD792" s="4"/>
      <c r="AE792" s="4"/>
      <c r="AF792" s="4"/>
    </row>
    <row r="793" spans="30:32" x14ac:dyDescent="0.2">
      <c r="AD793" s="4"/>
      <c r="AE793" s="4"/>
      <c r="AF793" s="4"/>
    </row>
    <row r="794" spans="30:32" x14ac:dyDescent="0.2">
      <c r="AD794" s="4"/>
      <c r="AE794" s="4"/>
      <c r="AF794" s="4"/>
    </row>
    <row r="795" spans="30:32" x14ac:dyDescent="0.2">
      <c r="AD795" s="4"/>
      <c r="AE795" s="4"/>
      <c r="AF795" s="4"/>
    </row>
    <row r="796" spans="30:32" x14ac:dyDescent="0.2">
      <c r="AD796" s="4"/>
      <c r="AE796" s="4"/>
      <c r="AF796" s="4"/>
    </row>
    <row r="797" spans="30:32" x14ac:dyDescent="0.2">
      <c r="AD797" s="4"/>
      <c r="AE797" s="4"/>
      <c r="AF797" s="4"/>
    </row>
    <row r="798" spans="30:32" x14ac:dyDescent="0.2">
      <c r="AD798" s="4"/>
      <c r="AE798" s="4"/>
      <c r="AF798" s="4"/>
    </row>
    <row r="799" spans="30:32" x14ac:dyDescent="0.2">
      <c r="AD799" s="4"/>
      <c r="AE799" s="4"/>
      <c r="AF799" s="4"/>
    </row>
    <row r="800" spans="30:32" x14ac:dyDescent="0.2">
      <c r="AD800" s="4"/>
      <c r="AE800" s="4"/>
      <c r="AF800" s="4"/>
    </row>
    <row r="801" spans="30:32" x14ac:dyDescent="0.2">
      <c r="AD801" s="4"/>
      <c r="AE801" s="4"/>
      <c r="AF801" s="4"/>
    </row>
    <row r="802" spans="30:32" x14ac:dyDescent="0.2">
      <c r="AD802" s="4"/>
      <c r="AE802" s="4"/>
      <c r="AF802" s="4"/>
    </row>
    <row r="803" spans="30:32" x14ac:dyDescent="0.2">
      <c r="AD803" s="4"/>
      <c r="AE803" s="4"/>
      <c r="AF803" s="4"/>
    </row>
    <row r="804" spans="30:32" x14ac:dyDescent="0.2">
      <c r="AD804" s="4"/>
      <c r="AE804" s="4"/>
      <c r="AF804" s="4"/>
    </row>
    <row r="805" spans="30:32" x14ac:dyDescent="0.2">
      <c r="AD805" s="4"/>
      <c r="AE805" s="4"/>
      <c r="AF805" s="4"/>
    </row>
    <row r="806" spans="30:32" x14ac:dyDescent="0.2">
      <c r="AD806" s="4"/>
      <c r="AE806" s="4"/>
      <c r="AF806" s="4"/>
    </row>
    <row r="807" spans="30:32" x14ac:dyDescent="0.2">
      <c r="AD807" s="4"/>
      <c r="AE807" s="4"/>
      <c r="AF807" s="4"/>
    </row>
    <row r="808" spans="30:32" x14ac:dyDescent="0.2">
      <c r="AD808" s="4"/>
      <c r="AE808" s="4"/>
      <c r="AF808" s="4"/>
    </row>
    <row r="809" spans="30:32" x14ac:dyDescent="0.2">
      <c r="AD809" s="4"/>
      <c r="AE809" s="4"/>
      <c r="AF809" s="4"/>
    </row>
    <row r="810" spans="30:32" x14ac:dyDescent="0.2">
      <c r="AD810" s="4"/>
      <c r="AE810" s="4"/>
      <c r="AF810" s="4"/>
    </row>
    <row r="811" spans="30:32" x14ac:dyDescent="0.2">
      <c r="AD811" s="4"/>
      <c r="AE811" s="4"/>
      <c r="AF811" s="4"/>
    </row>
    <row r="812" spans="30:32" x14ac:dyDescent="0.2">
      <c r="AD812" s="4"/>
      <c r="AE812" s="4"/>
      <c r="AF812" s="4"/>
    </row>
    <row r="813" spans="30:32" x14ac:dyDescent="0.2">
      <c r="AD813" s="4"/>
      <c r="AE813" s="4"/>
      <c r="AF813" s="4"/>
    </row>
    <row r="814" spans="30:32" x14ac:dyDescent="0.2">
      <c r="AD814" s="4"/>
      <c r="AE814" s="4"/>
      <c r="AF814" s="4"/>
    </row>
    <row r="815" spans="30:32" x14ac:dyDescent="0.2">
      <c r="AD815" s="4"/>
      <c r="AE815" s="4"/>
      <c r="AF815" s="4"/>
    </row>
    <row r="816" spans="30:32" x14ac:dyDescent="0.2">
      <c r="AD816" s="4"/>
      <c r="AE816" s="4"/>
      <c r="AF816" s="4"/>
    </row>
    <row r="817" spans="30:32" x14ac:dyDescent="0.2">
      <c r="AD817" s="4"/>
      <c r="AE817" s="4"/>
      <c r="AF817" s="4"/>
    </row>
    <row r="818" spans="30:32" x14ac:dyDescent="0.2">
      <c r="AD818" s="4"/>
      <c r="AE818" s="4"/>
      <c r="AF818" s="4"/>
    </row>
    <row r="819" spans="30:32" x14ac:dyDescent="0.2">
      <c r="AD819" s="4"/>
      <c r="AE819" s="4"/>
      <c r="AF819" s="4"/>
    </row>
    <row r="820" spans="30:32" x14ac:dyDescent="0.2">
      <c r="AD820" s="4"/>
      <c r="AE820" s="4"/>
      <c r="AF820" s="4"/>
    </row>
    <row r="821" spans="30:32" x14ac:dyDescent="0.2">
      <c r="AD821" s="4"/>
      <c r="AE821" s="4"/>
      <c r="AF821" s="4"/>
    </row>
    <row r="822" spans="30:32" x14ac:dyDescent="0.2">
      <c r="AD822" s="4"/>
      <c r="AE822" s="4"/>
      <c r="AF822" s="4"/>
    </row>
    <row r="823" spans="30:32" x14ac:dyDescent="0.2">
      <c r="AD823" s="4"/>
      <c r="AE823" s="4"/>
      <c r="AF823" s="4"/>
    </row>
    <row r="824" spans="30:32" x14ac:dyDescent="0.2">
      <c r="AD824" s="4"/>
      <c r="AE824" s="4"/>
      <c r="AF824" s="4"/>
    </row>
    <row r="825" spans="30:32" x14ac:dyDescent="0.2">
      <c r="AD825" s="4"/>
      <c r="AE825" s="4"/>
      <c r="AF825" s="4"/>
    </row>
    <row r="826" spans="30:32" x14ac:dyDescent="0.2">
      <c r="AD826" s="4"/>
      <c r="AE826" s="4"/>
      <c r="AF826" s="4"/>
    </row>
    <row r="827" spans="30:32" x14ac:dyDescent="0.2">
      <c r="AD827" s="4"/>
      <c r="AE827" s="4"/>
      <c r="AF827" s="4"/>
    </row>
    <row r="828" spans="30:32" x14ac:dyDescent="0.2">
      <c r="AD828" s="4"/>
      <c r="AE828" s="4"/>
      <c r="AF828" s="4"/>
    </row>
    <row r="829" spans="30:32" x14ac:dyDescent="0.2">
      <c r="AD829" s="4"/>
      <c r="AE829" s="4"/>
      <c r="AF829" s="4"/>
    </row>
    <row r="830" spans="30:32" x14ac:dyDescent="0.2">
      <c r="AD830" s="4"/>
      <c r="AE830" s="4"/>
      <c r="AF830" s="4"/>
    </row>
    <row r="831" spans="30:32" x14ac:dyDescent="0.2">
      <c r="AD831" s="4"/>
      <c r="AE831" s="4"/>
      <c r="AF831" s="4"/>
    </row>
    <row r="832" spans="30:32" x14ac:dyDescent="0.2">
      <c r="AD832" s="4"/>
      <c r="AE832" s="4"/>
      <c r="AF832" s="4"/>
    </row>
    <row r="833" spans="30:32" x14ac:dyDescent="0.2">
      <c r="AD833" s="4"/>
      <c r="AE833" s="4"/>
      <c r="AF833" s="4"/>
    </row>
    <row r="834" spans="30:32" x14ac:dyDescent="0.2">
      <c r="AD834" s="4"/>
      <c r="AE834" s="4"/>
      <c r="AF834" s="4"/>
    </row>
    <row r="835" spans="30:32" x14ac:dyDescent="0.2">
      <c r="AD835" s="4"/>
      <c r="AE835" s="4"/>
      <c r="AF835" s="4"/>
    </row>
    <row r="836" spans="30:32" x14ac:dyDescent="0.2">
      <c r="AD836" s="4"/>
      <c r="AE836" s="4"/>
      <c r="AF836" s="4"/>
    </row>
    <row r="837" spans="30:32" x14ac:dyDescent="0.2">
      <c r="AD837" s="4"/>
      <c r="AE837" s="4"/>
      <c r="AF837" s="4"/>
    </row>
    <row r="838" spans="30:32" x14ac:dyDescent="0.2">
      <c r="AD838" s="4"/>
      <c r="AE838" s="4"/>
      <c r="AF838" s="4"/>
    </row>
    <row r="839" spans="30:32" x14ac:dyDescent="0.2">
      <c r="AD839" s="4"/>
      <c r="AE839" s="4"/>
      <c r="AF839" s="4"/>
    </row>
    <row r="840" spans="30:32" x14ac:dyDescent="0.2">
      <c r="AD840" s="4"/>
      <c r="AE840" s="4"/>
      <c r="AF840" s="4"/>
    </row>
    <row r="841" spans="30:32" x14ac:dyDescent="0.2">
      <c r="AD841" s="4"/>
      <c r="AE841" s="4"/>
      <c r="AF841" s="4"/>
    </row>
    <row r="842" spans="30:32" x14ac:dyDescent="0.2">
      <c r="AD842" s="4"/>
      <c r="AE842" s="4"/>
      <c r="AF842" s="4"/>
    </row>
    <row r="843" spans="30:32" x14ac:dyDescent="0.2">
      <c r="AD843" s="4"/>
      <c r="AE843" s="4"/>
      <c r="AF843" s="4"/>
    </row>
    <row r="844" spans="30:32" x14ac:dyDescent="0.2">
      <c r="AD844" s="4"/>
      <c r="AE844" s="4"/>
      <c r="AF844" s="4"/>
    </row>
    <row r="845" spans="30:32" x14ac:dyDescent="0.2">
      <c r="AD845" s="4"/>
      <c r="AE845" s="4"/>
      <c r="AF845" s="4"/>
    </row>
    <row r="846" spans="30:32" x14ac:dyDescent="0.2">
      <c r="AD846" s="4"/>
      <c r="AE846" s="4"/>
      <c r="AF846" s="4"/>
    </row>
    <row r="847" spans="30:32" x14ac:dyDescent="0.2">
      <c r="AD847" s="4"/>
      <c r="AE847" s="4"/>
      <c r="AF847" s="4"/>
    </row>
    <row r="848" spans="30:32" x14ac:dyDescent="0.2">
      <c r="AD848" s="4"/>
      <c r="AE848" s="4"/>
      <c r="AF848" s="4"/>
    </row>
    <row r="849" spans="30:32" x14ac:dyDescent="0.2">
      <c r="AD849" s="4"/>
      <c r="AE849" s="4"/>
      <c r="AF849" s="4"/>
    </row>
    <row r="850" spans="30:32" x14ac:dyDescent="0.2">
      <c r="AD850" s="4"/>
      <c r="AE850" s="4"/>
      <c r="AF850" s="4"/>
    </row>
    <row r="851" spans="30:32" x14ac:dyDescent="0.2">
      <c r="AD851" s="4"/>
      <c r="AE851" s="4"/>
      <c r="AF851" s="4"/>
    </row>
    <row r="852" spans="30:32" x14ac:dyDescent="0.2">
      <c r="AD852" s="4"/>
      <c r="AE852" s="4"/>
      <c r="AF852" s="4"/>
    </row>
    <row r="853" spans="30:32" x14ac:dyDescent="0.2">
      <c r="AD853" s="4"/>
      <c r="AE853" s="4"/>
      <c r="AF853" s="4"/>
    </row>
    <row r="854" spans="30:32" x14ac:dyDescent="0.2">
      <c r="AD854" s="4"/>
      <c r="AE854" s="4"/>
      <c r="AF854" s="4"/>
    </row>
    <row r="855" spans="30:32" x14ac:dyDescent="0.2">
      <c r="AD855" s="4"/>
      <c r="AE855" s="4"/>
      <c r="AF855" s="4"/>
    </row>
    <row r="856" spans="30:32" x14ac:dyDescent="0.2">
      <c r="AD856" s="4"/>
      <c r="AE856" s="4"/>
      <c r="AF856" s="4"/>
    </row>
    <row r="857" spans="30:32" x14ac:dyDescent="0.2">
      <c r="AD857" s="4"/>
      <c r="AE857" s="4"/>
      <c r="AF857" s="4"/>
    </row>
    <row r="858" spans="30:32" x14ac:dyDescent="0.2">
      <c r="AD858" s="4"/>
      <c r="AE858" s="4"/>
      <c r="AF858" s="4"/>
    </row>
    <row r="859" spans="30:32" x14ac:dyDescent="0.2">
      <c r="AD859" s="4"/>
      <c r="AE859" s="4"/>
      <c r="AF859" s="4"/>
    </row>
    <row r="860" spans="30:32" x14ac:dyDescent="0.2">
      <c r="AD860" s="4"/>
      <c r="AE860" s="4"/>
      <c r="AF860" s="4"/>
    </row>
    <row r="861" spans="30:32" x14ac:dyDescent="0.2">
      <c r="AD861" s="4"/>
      <c r="AE861" s="4"/>
      <c r="AF861" s="4"/>
    </row>
    <row r="862" spans="30:32" x14ac:dyDescent="0.2">
      <c r="AD862" s="4"/>
      <c r="AE862" s="4"/>
      <c r="AF862" s="4"/>
    </row>
    <row r="863" spans="30:32" x14ac:dyDescent="0.2">
      <c r="AD863" s="4"/>
      <c r="AE863" s="4"/>
      <c r="AF863" s="4"/>
    </row>
    <row r="864" spans="30:32" x14ac:dyDescent="0.2">
      <c r="AD864" s="4"/>
      <c r="AE864" s="4"/>
      <c r="AF864" s="4"/>
    </row>
    <row r="865" spans="30:32" x14ac:dyDescent="0.2">
      <c r="AD865" s="4"/>
      <c r="AE865" s="4"/>
      <c r="AF865" s="4"/>
    </row>
    <row r="866" spans="30:32" x14ac:dyDescent="0.2">
      <c r="AD866" s="4"/>
      <c r="AE866" s="4"/>
      <c r="AF866" s="4"/>
    </row>
    <row r="867" spans="30:32" x14ac:dyDescent="0.2">
      <c r="AD867" s="4"/>
      <c r="AE867" s="4"/>
      <c r="AF867" s="4"/>
    </row>
    <row r="868" spans="30:32" x14ac:dyDescent="0.2">
      <c r="AD868" s="4"/>
      <c r="AE868" s="4"/>
      <c r="AF868" s="4"/>
    </row>
    <row r="869" spans="30:32" x14ac:dyDescent="0.2">
      <c r="AD869" s="4"/>
      <c r="AE869" s="4"/>
      <c r="AF869" s="4"/>
    </row>
    <row r="870" spans="30:32" x14ac:dyDescent="0.2">
      <c r="AD870" s="4"/>
      <c r="AE870" s="4"/>
      <c r="AF870" s="4"/>
    </row>
    <row r="871" spans="30:32" x14ac:dyDescent="0.2">
      <c r="AD871" s="4"/>
      <c r="AE871" s="4"/>
      <c r="AF871" s="4"/>
    </row>
    <row r="872" spans="30:32" x14ac:dyDescent="0.2">
      <c r="AD872" s="4"/>
      <c r="AE872" s="4"/>
      <c r="AF872" s="4"/>
    </row>
    <row r="873" spans="30:32" x14ac:dyDescent="0.2">
      <c r="AD873" s="4"/>
      <c r="AE873" s="4"/>
      <c r="AF873" s="4"/>
    </row>
    <row r="874" spans="30:32" x14ac:dyDescent="0.2">
      <c r="AD874" s="4"/>
      <c r="AE874" s="4"/>
      <c r="AF874" s="4"/>
    </row>
    <row r="875" spans="30:32" x14ac:dyDescent="0.2">
      <c r="AD875" s="4"/>
      <c r="AE875" s="4"/>
      <c r="AF875" s="4"/>
    </row>
    <row r="876" spans="30:32" x14ac:dyDescent="0.2">
      <c r="AD876" s="4"/>
      <c r="AE876" s="4"/>
      <c r="AF876" s="4"/>
    </row>
    <row r="877" spans="30:32" x14ac:dyDescent="0.2">
      <c r="AD877" s="4"/>
      <c r="AE877" s="4"/>
      <c r="AF877" s="4"/>
    </row>
    <row r="878" spans="30:32" x14ac:dyDescent="0.2">
      <c r="AD878" s="4"/>
      <c r="AE878" s="4"/>
      <c r="AF878" s="4"/>
    </row>
    <row r="879" spans="30:32" x14ac:dyDescent="0.2">
      <c r="AD879" s="4"/>
      <c r="AE879" s="4"/>
      <c r="AF879" s="4"/>
    </row>
    <row r="880" spans="30:32" x14ac:dyDescent="0.2">
      <c r="AD880" s="4"/>
      <c r="AE880" s="4"/>
      <c r="AF880" s="4"/>
    </row>
    <row r="881" spans="30:32" x14ac:dyDescent="0.2">
      <c r="AD881" s="4"/>
      <c r="AE881" s="4"/>
      <c r="AF881" s="4"/>
    </row>
    <row r="882" spans="30:32" x14ac:dyDescent="0.2">
      <c r="AD882" s="4"/>
      <c r="AE882" s="4"/>
      <c r="AF882" s="4"/>
    </row>
    <row r="883" spans="30:32" x14ac:dyDescent="0.2">
      <c r="AD883" s="4"/>
      <c r="AE883" s="4"/>
      <c r="AF883" s="4"/>
    </row>
    <row r="884" spans="30:32" x14ac:dyDescent="0.2">
      <c r="AD884" s="4"/>
      <c r="AE884" s="4"/>
      <c r="AF884" s="4"/>
    </row>
    <row r="885" spans="30:32" x14ac:dyDescent="0.2">
      <c r="AD885" s="4"/>
      <c r="AE885" s="4"/>
      <c r="AF885" s="4"/>
    </row>
    <row r="886" spans="30:32" x14ac:dyDescent="0.2">
      <c r="AD886" s="4"/>
      <c r="AE886" s="4"/>
      <c r="AF886" s="4"/>
    </row>
    <row r="887" spans="30:32" x14ac:dyDescent="0.2">
      <c r="AD887" s="4"/>
      <c r="AE887" s="4"/>
      <c r="AF887" s="4"/>
    </row>
    <row r="888" spans="30:32" x14ac:dyDescent="0.2">
      <c r="AD888" s="4"/>
      <c r="AE888" s="4"/>
      <c r="AF888" s="4"/>
    </row>
    <row r="889" spans="30:32" x14ac:dyDescent="0.2">
      <c r="AD889" s="4"/>
      <c r="AE889" s="4"/>
      <c r="AF889" s="4"/>
    </row>
    <row r="890" spans="30:32" x14ac:dyDescent="0.2">
      <c r="AD890" s="4"/>
      <c r="AE890" s="4"/>
      <c r="AF890" s="4"/>
    </row>
    <row r="891" spans="30:32" x14ac:dyDescent="0.2">
      <c r="AD891" s="4"/>
      <c r="AE891" s="4"/>
      <c r="AF891" s="4"/>
    </row>
    <row r="892" spans="30:32" x14ac:dyDescent="0.2">
      <c r="AD892" s="4"/>
      <c r="AE892" s="4"/>
      <c r="AF892" s="4"/>
    </row>
    <row r="893" spans="30:32" x14ac:dyDescent="0.2">
      <c r="AD893" s="4"/>
      <c r="AE893" s="4"/>
      <c r="AF893" s="4"/>
    </row>
    <row r="894" spans="30:32" x14ac:dyDescent="0.2">
      <c r="AD894" s="4"/>
      <c r="AE894" s="4"/>
      <c r="AF894" s="4"/>
    </row>
    <row r="895" spans="30:32" x14ac:dyDescent="0.2">
      <c r="AD895" s="4"/>
      <c r="AE895" s="4"/>
      <c r="AF895" s="4"/>
    </row>
    <row r="896" spans="30:32" x14ac:dyDescent="0.2">
      <c r="AD896" s="4"/>
      <c r="AE896" s="4"/>
      <c r="AF896" s="4"/>
    </row>
    <row r="897" spans="30:32" x14ac:dyDescent="0.2">
      <c r="AD897" s="4"/>
      <c r="AE897" s="4"/>
      <c r="AF897" s="4"/>
    </row>
    <row r="898" spans="30:32" x14ac:dyDescent="0.2">
      <c r="AD898" s="4"/>
      <c r="AE898" s="4"/>
      <c r="AF898" s="4"/>
    </row>
    <row r="899" spans="30:32" x14ac:dyDescent="0.2">
      <c r="AD899" s="4"/>
      <c r="AE899" s="4"/>
      <c r="AF899" s="4"/>
    </row>
    <row r="900" spans="30:32" x14ac:dyDescent="0.2">
      <c r="AD900" s="4"/>
      <c r="AE900" s="4"/>
      <c r="AF900" s="4"/>
    </row>
    <row r="901" spans="30:32" x14ac:dyDescent="0.2">
      <c r="AD901" s="4"/>
      <c r="AE901" s="4"/>
      <c r="AF901" s="4"/>
    </row>
    <row r="902" spans="30:32" x14ac:dyDescent="0.2">
      <c r="AD902" s="4"/>
      <c r="AE902" s="4"/>
      <c r="AF902" s="4"/>
    </row>
    <row r="903" spans="30:32" x14ac:dyDescent="0.2">
      <c r="AD903" s="4"/>
      <c r="AE903" s="4"/>
      <c r="AF903" s="4"/>
    </row>
    <row r="904" spans="30:32" x14ac:dyDescent="0.2">
      <c r="AD904" s="4"/>
      <c r="AE904" s="4"/>
      <c r="AF904" s="4"/>
    </row>
    <row r="905" spans="30:32" x14ac:dyDescent="0.2">
      <c r="AD905" s="4"/>
      <c r="AE905" s="4"/>
      <c r="AF905" s="4"/>
    </row>
    <row r="906" spans="30:32" x14ac:dyDescent="0.2">
      <c r="AD906" s="4"/>
      <c r="AE906" s="4"/>
      <c r="AF906" s="4"/>
    </row>
    <row r="907" spans="30:32" x14ac:dyDescent="0.2">
      <c r="AD907" s="4"/>
      <c r="AE907" s="4"/>
      <c r="AF907" s="4"/>
    </row>
    <row r="908" spans="30:32" x14ac:dyDescent="0.2">
      <c r="AD908" s="4"/>
      <c r="AE908" s="4"/>
      <c r="AF908" s="4"/>
    </row>
    <row r="909" spans="30:32" x14ac:dyDescent="0.2">
      <c r="AD909" s="4"/>
      <c r="AE909" s="4"/>
      <c r="AF909" s="4"/>
    </row>
    <row r="910" spans="30:32" x14ac:dyDescent="0.2">
      <c r="AD910" s="4"/>
      <c r="AE910" s="4"/>
      <c r="AF910" s="4"/>
    </row>
    <row r="911" spans="30:32" x14ac:dyDescent="0.2">
      <c r="AD911" s="4"/>
      <c r="AE911" s="4"/>
      <c r="AF911" s="4"/>
    </row>
    <row r="912" spans="30:32" x14ac:dyDescent="0.2">
      <c r="AD912" s="4"/>
      <c r="AE912" s="4"/>
      <c r="AF912" s="4"/>
    </row>
    <row r="913" spans="30:32" x14ac:dyDescent="0.2">
      <c r="AD913" s="4"/>
      <c r="AE913" s="4"/>
      <c r="AF913" s="4"/>
    </row>
    <row r="914" spans="30:32" x14ac:dyDescent="0.2">
      <c r="AD914" s="4"/>
      <c r="AE914" s="4"/>
      <c r="AF914" s="4"/>
    </row>
    <row r="915" spans="30:32" x14ac:dyDescent="0.2">
      <c r="AD915" s="4"/>
      <c r="AE915" s="4"/>
      <c r="AF915" s="4"/>
    </row>
    <row r="916" spans="30:32" x14ac:dyDescent="0.2">
      <c r="AD916" s="4"/>
      <c r="AE916" s="4"/>
      <c r="AF916" s="4"/>
    </row>
    <row r="917" spans="30:32" x14ac:dyDescent="0.2">
      <c r="AD917" s="4"/>
      <c r="AE917" s="4"/>
      <c r="AF917" s="4"/>
    </row>
    <row r="918" spans="30:32" x14ac:dyDescent="0.2">
      <c r="AD918" s="4"/>
      <c r="AE918" s="4"/>
      <c r="AF918" s="4"/>
    </row>
    <row r="919" spans="30:32" x14ac:dyDescent="0.2">
      <c r="AD919" s="4"/>
      <c r="AE919" s="4"/>
      <c r="AF919" s="4"/>
    </row>
    <row r="920" spans="30:32" x14ac:dyDescent="0.2">
      <c r="AD920" s="4"/>
      <c r="AE920" s="4"/>
      <c r="AF920" s="4"/>
    </row>
    <row r="921" spans="30:32" x14ac:dyDescent="0.2">
      <c r="AD921" s="4"/>
      <c r="AE921" s="4"/>
      <c r="AF921" s="4"/>
    </row>
    <row r="922" spans="30:32" x14ac:dyDescent="0.2">
      <c r="AD922" s="4"/>
      <c r="AE922" s="4"/>
      <c r="AF922" s="4"/>
    </row>
    <row r="923" spans="30:32" x14ac:dyDescent="0.2">
      <c r="AD923" s="4"/>
      <c r="AE923" s="4"/>
      <c r="AF923" s="4"/>
    </row>
    <row r="924" spans="30:32" x14ac:dyDescent="0.2">
      <c r="AD924" s="4"/>
      <c r="AE924" s="4"/>
      <c r="AF924" s="4"/>
    </row>
    <row r="925" spans="30:32" x14ac:dyDescent="0.2">
      <c r="AD925" s="4"/>
      <c r="AE925" s="4"/>
      <c r="AF925" s="4"/>
    </row>
    <row r="926" spans="30:32" x14ac:dyDescent="0.2">
      <c r="AD926" s="4"/>
      <c r="AE926" s="4"/>
      <c r="AF926" s="4"/>
    </row>
    <row r="927" spans="30:32" x14ac:dyDescent="0.2">
      <c r="AD927" s="4"/>
      <c r="AE927" s="4"/>
      <c r="AF927" s="4"/>
    </row>
    <row r="928" spans="30:32" x14ac:dyDescent="0.2">
      <c r="AD928" s="4"/>
      <c r="AE928" s="4"/>
      <c r="AF928" s="4"/>
    </row>
    <row r="929" spans="30:32" x14ac:dyDescent="0.2">
      <c r="AD929" s="4"/>
      <c r="AE929" s="4"/>
      <c r="AF929" s="4"/>
    </row>
    <row r="930" spans="30:32" x14ac:dyDescent="0.2">
      <c r="AD930" s="4"/>
      <c r="AE930" s="4"/>
      <c r="AF930" s="4"/>
    </row>
    <row r="931" spans="30:32" x14ac:dyDescent="0.2">
      <c r="AD931" s="4"/>
      <c r="AE931" s="4"/>
      <c r="AF931" s="4"/>
    </row>
    <row r="932" spans="30:32" x14ac:dyDescent="0.2">
      <c r="AD932" s="4"/>
      <c r="AE932" s="4"/>
      <c r="AF932" s="4"/>
    </row>
    <row r="933" spans="30:32" x14ac:dyDescent="0.2">
      <c r="AD933" s="4"/>
      <c r="AE933" s="4"/>
      <c r="AF933" s="4"/>
    </row>
    <row r="934" spans="30:32" x14ac:dyDescent="0.2">
      <c r="AD934" s="4"/>
      <c r="AE934" s="4"/>
      <c r="AF934" s="4"/>
    </row>
    <row r="935" spans="30:32" x14ac:dyDescent="0.2">
      <c r="AD935" s="4"/>
      <c r="AE935" s="4"/>
      <c r="AF935" s="4"/>
    </row>
    <row r="936" spans="30:32" x14ac:dyDescent="0.2">
      <c r="AD936" s="4"/>
      <c r="AE936" s="4"/>
      <c r="AF936" s="4"/>
    </row>
    <row r="937" spans="30:32" x14ac:dyDescent="0.2">
      <c r="AD937" s="4"/>
      <c r="AE937" s="4"/>
      <c r="AF937" s="4"/>
    </row>
    <row r="938" spans="30:32" x14ac:dyDescent="0.2">
      <c r="AD938" s="4"/>
      <c r="AE938" s="4"/>
      <c r="AF938" s="4"/>
    </row>
    <row r="939" spans="30:32" x14ac:dyDescent="0.2">
      <c r="AD939" s="4"/>
      <c r="AE939" s="4"/>
      <c r="AF939" s="4"/>
    </row>
    <row r="940" spans="30:32" x14ac:dyDescent="0.2">
      <c r="AD940" s="4"/>
      <c r="AE940" s="4"/>
      <c r="AF940" s="4"/>
    </row>
    <row r="941" spans="30:32" x14ac:dyDescent="0.2">
      <c r="AD941" s="4"/>
      <c r="AE941" s="4"/>
      <c r="AF941" s="4"/>
    </row>
    <row r="942" spans="30:32" x14ac:dyDescent="0.2">
      <c r="AD942" s="4"/>
      <c r="AE942" s="4"/>
      <c r="AF942" s="4"/>
    </row>
    <row r="943" spans="30:32" x14ac:dyDescent="0.2">
      <c r="AD943" s="4"/>
      <c r="AE943" s="4"/>
      <c r="AF943" s="4"/>
    </row>
    <row r="944" spans="30:32" x14ac:dyDescent="0.2">
      <c r="AD944" s="4"/>
      <c r="AE944" s="4"/>
      <c r="AF944" s="4"/>
    </row>
    <row r="945" spans="30:32" x14ac:dyDescent="0.2">
      <c r="AD945" s="4"/>
      <c r="AE945" s="4"/>
      <c r="AF945" s="4"/>
    </row>
    <row r="946" spans="30:32" x14ac:dyDescent="0.2">
      <c r="AD946" s="4"/>
      <c r="AE946" s="4"/>
      <c r="AF946" s="4"/>
    </row>
    <row r="947" spans="30:32" x14ac:dyDescent="0.2">
      <c r="AD947" s="4"/>
      <c r="AE947" s="4"/>
      <c r="AF947" s="4"/>
    </row>
    <row r="948" spans="30:32" x14ac:dyDescent="0.2">
      <c r="AD948" s="4"/>
      <c r="AE948" s="4"/>
      <c r="AF948" s="4"/>
    </row>
    <row r="949" spans="30:32" x14ac:dyDescent="0.2">
      <c r="AD949" s="4"/>
      <c r="AE949" s="4"/>
      <c r="AF949" s="4"/>
    </row>
    <row r="950" spans="30:32" x14ac:dyDescent="0.2">
      <c r="AD950" s="4"/>
      <c r="AE950" s="4"/>
      <c r="AF950" s="4"/>
    </row>
    <row r="951" spans="30:32" x14ac:dyDescent="0.2">
      <c r="AD951" s="4"/>
      <c r="AE951" s="4"/>
      <c r="AF951" s="4"/>
    </row>
    <row r="952" spans="30:32" x14ac:dyDescent="0.2">
      <c r="AD952" s="4"/>
      <c r="AE952" s="4"/>
      <c r="AF952" s="4"/>
    </row>
    <row r="953" spans="30:32" x14ac:dyDescent="0.2">
      <c r="AD953" s="4"/>
      <c r="AE953" s="4"/>
      <c r="AF953" s="4"/>
    </row>
    <row r="954" spans="30:32" x14ac:dyDescent="0.2">
      <c r="AD954" s="4"/>
      <c r="AE954" s="4"/>
      <c r="AF954" s="4"/>
    </row>
    <row r="955" spans="30:32" x14ac:dyDescent="0.2">
      <c r="AD955" s="4"/>
      <c r="AE955" s="4"/>
      <c r="AF955" s="4"/>
    </row>
    <row r="956" spans="30:32" x14ac:dyDescent="0.2">
      <c r="AD956" s="4"/>
      <c r="AE956" s="4"/>
      <c r="AF956" s="4"/>
    </row>
    <row r="957" spans="30:32" x14ac:dyDescent="0.2">
      <c r="AD957" s="4"/>
      <c r="AE957" s="4"/>
      <c r="AF957" s="4"/>
    </row>
    <row r="958" spans="30:32" x14ac:dyDescent="0.2">
      <c r="AD958" s="4"/>
      <c r="AE958" s="4"/>
      <c r="AF958" s="4"/>
    </row>
    <row r="959" spans="30:32" x14ac:dyDescent="0.2">
      <c r="AD959" s="4"/>
      <c r="AE959" s="4"/>
      <c r="AF959" s="4"/>
    </row>
    <row r="960" spans="30:32" x14ac:dyDescent="0.2">
      <c r="AD960" s="4"/>
      <c r="AE960" s="4"/>
      <c r="AF960" s="4"/>
    </row>
    <row r="961" spans="30:32" x14ac:dyDescent="0.2">
      <c r="AD961" s="4"/>
      <c r="AE961" s="4"/>
      <c r="AF961" s="4"/>
    </row>
    <row r="962" spans="30:32" x14ac:dyDescent="0.2">
      <c r="AD962" s="4"/>
      <c r="AE962" s="4"/>
      <c r="AF962" s="4"/>
    </row>
    <row r="963" spans="30:32" x14ac:dyDescent="0.2">
      <c r="AD963" s="4"/>
      <c r="AE963" s="4"/>
      <c r="AF963" s="4"/>
    </row>
    <row r="964" spans="30:32" x14ac:dyDescent="0.2">
      <c r="AD964" s="4"/>
      <c r="AE964" s="4"/>
      <c r="AF964" s="4"/>
    </row>
    <row r="965" spans="30:32" x14ac:dyDescent="0.2">
      <c r="AD965" s="4"/>
      <c r="AE965" s="4"/>
      <c r="AF965" s="4"/>
    </row>
    <row r="966" spans="30:32" x14ac:dyDescent="0.2">
      <c r="AD966" s="4"/>
      <c r="AE966" s="4"/>
      <c r="AF966" s="4"/>
    </row>
    <row r="967" spans="30:32" x14ac:dyDescent="0.2">
      <c r="AD967" s="4"/>
      <c r="AE967" s="4"/>
      <c r="AF967" s="4"/>
    </row>
    <row r="968" spans="30:32" x14ac:dyDescent="0.2">
      <c r="AD968" s="4"/>
      <c r="AE968" s="4"/>
      <c r="AF968" s="4"/>
    </row>
    <row r="969" spans="30:32" x14ac:dyDescent="0.2">
      <c r="AD969" s="4"/>
      <c r="AE969" s="4"/>
      <c r="AF969" s="4"/>
    </row>
    <row r="970" spans="30:32" x14ac:dyDescent="0.2">
      <c r="AD970" s="4"/>
      <c r="AE970" s="4"/>
      <c r="AF970" s="4"/>
    </row>
    <row r="971" spans="30:32" x14ac:dyDescent="0.2">
      <c r="AD971" s="4"/>
      <c r="AE971" s="4"/>
      <c r="AF971" s="4"/>
    </row>
    <row r="972" spans="30:32" x14ac:dyDescent="0.2">
      <c r="AD972" s="4"/>
      <c r="AE972" s="4"/>
      <c r="AF972" s="4"/>
    </row>
    <row r="973" spans="30:32" x14ac:dyDescent="0.2">
      <c r="AD973" s="4"/>
      <c r="AE973" s="4"/>
      <c r="AF973" s="4"/>
    </row>
    <row r="974" spans="30:32" x14ac:dyDescent="0.2">
      <c r="AD974" s="4"/>
      <c r="AE974" s="4"/>
      <c r="AF974" s="4"/>
    </row>
    <row r="975" spans="30:32" x14ac:dyDescent="0.2">
      <c r="AD975" s="4"/>
      <c r="AE975" s="4"/>
      <c r="AF975" s="4"/>
    </row>
    <row r="976" spans="30:32" x14ac:dyDescent="0.2">
      <c r="AD976" s="4"/>
      <c r="AE976" s="4"/>
      <c r="AF976" s="4"/>
    </row>
    <row r="977" spans="30:32" x14ac:dyDescent="0.2">
      <c r="AD977" s="4"/>
      <c r="AE977" s="4"/>
      <c r="AF977" s="4"/>
    </row>
    <row r="978" spans="30:32" x14ac:dyDescent="0.2">
      <c r="AD978" s="4"/>
      <c r="AE978" s="4"/>
      <c r="AF978" s="4"/>
    </row>
    <row r="979" spans="30:32" x14ac:dyDescent="0.2">
      <c r="AD979" s="4"/>
      <c r="AE979" s="4"/>
      <c r="AF979" s="4"/>
    </row>
    <row r="980" spans="30:32" x14ac:dyDescent="0.2">
      <c r="AD980" s="4"/>
      <c r="AE980" s="4"/>
      <c r="AF980" s="4"/>
    </row>
    <row r="981" spans="30:32" x14ac:dyDescent="0.2">
      <c r="AD981" s="4"/>
      <c r="AE981" s="4"/>
      <c r="AF981" s="4"/>
    </row>
    <row r="982" spans="30:32" x14ac:dyDescent="0.2">
      <c r="AD982" s="4"/>
      <c r="AE982" s="4"/>
      <c r="AF982" s="4"/>
    </row>
    <row r="983" spans="30:32" x14ac:dyDescent="0.2">
      <c r="AD983" s="4"/>
      <c r="AE983" s="4"/>
      <c r="AF983" s="4"/>
    </row>
    <row r="984" spans="30:32" x14ac:dyDescent="0.2">
      <c r="AD984" s="4"/>
      <c r="AE984" s="4"/>
      <c r="AF984" s="4"/>
    </row>
    <row r="985" spans="30:32" x14ac:dyDescent="0.2">
      <c r="AD985" s="4"/>
      <c r="AE985" s="4"/>
      <c r="AF985" s="4"/>
    </row>
    <row r="986" spans="30:32" x14ac:dyDescent="0.2">
      <c r="AD986" s="4"/>
      <c r="AE986" s="4"/>
      <c r="AF986" s="4"/>
    </row>
    <row r="987" spans="30:32" x14ac:dyDescent="0.2">
      <c r="AD987" s="4"/>
      <c r="AE987" s="4"/>
      <c r="AF987" s="4"/>
    </row>
    <row r="988" spans="30:32" x14ac:dyDescent="0.2">
      <c r="AD988" s="4"/>
      <c r="AE988" s="4"/>
      <c r="AF988" s="4"/>
    </row>
    <row r="989" spans="30:32" x14ac:dyDescent="0.2">
      <c r="AD989" s="4"/>
      <c r="AE989" s="4"/>
      <c r="AF989" s="4"/>
    </row>
    <row r="990" spans="30:32" x14ac:dyDescent="0.2">
      <c r="AD990" s="4"/>
      <c r="AE990" s="4"/>
      <c r="AF990" s="4"/>
    </row>
    <row r="991" spans="30:32" x14ac:dyDescent="0.2">
      <c r="AD991" s="4"/>
      <c r="AE991" s="4"/>
      <c r="AF991" s="4"/>
    </row>
    <row r="992" spans="30:32" x14ac:dyDescent="0.2">
      <c r="AD992" s="4"/>
      <c r="AE992" s="4"/>
      <c r="AF992" s="4"/>
    </row>
    <row r="993" spans="30:32" x14ac:dyDescent="0.2">
      <c r="AD993" s="4"/>
      <c r="AE993" s="4"/>
      <c r="AF993" s="4"/>
    </row>
    <row r="994" spans="30:32" x14ac:dyDescent="0.2">
      <c r="AD994" s="4"/>
      <c r="AE994" s="4"/>
      <c r="AF994" s="4"/>
    </row>
    <row r="995" spans="30:32" x14ac:dyDescent="0.2">
      <c r="AD995" s="4"/>
      <c r="AE995" s="4"/>
      <c r="AF995" s="4"/>
    </row>
  </sheetData>
  <conditionalFormatting sqref="H2:H757">
    <cfRule type="expression" dxfId="0" priority="2">
      <formula>+IF((ISNUMBER(H2))*(H2&lt;TODAY()),1,0)=1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Rent 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Lihn</dc:creator>
  <cp:lastModifiedBy>Tomás Lihn</cp:lastModifiedBy>
  <dcterms:created xsi:type="dcterms:W3CDTF">2025-09-23T11:58:31Z</dcterms:created>
  <dcterms:modified xsi:type="dcterms:W3CDTF">2026-06-01T16:45:25Z</dcterms:modified>
</cp:coreProperties>
</file>